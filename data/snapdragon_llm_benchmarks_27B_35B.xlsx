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Andy\Github\snapdragon-x2-elite-extreme-llm-benchmarks\data\"/>
    </mc:Choice>
  </mc:AlternateContent>
  <xr:revisionPtr revIDLastSave="0" documentId="13_ncr:1_{176265A2-AD4C-42E5-9D5E-8B7075E3CBF5}" xr6:coauthVersionLast="47" xr6:coauthVersionMax="47" xr10:uidLastSave="{00000000-0000-0000-0000-000000000000}"/>
  <bookViews>
    <workbookView xWindow="-98" yWindow="-98" windowWidth="21795" windowHeight="12975" tabRatio="500" activeTab="2" xr2:uid="{00000000-000D-0000-FFFF-FFFF00000000}"/>
  </bookViews>
  <sheets>
    <sheet name="QWEN_27B_Runs" sheetId="1" r:id="rId1"/>
    <sheet name="QWEN_27B_Runs (MTP CPU + GPU)" sheetId="7" r:id="rId2"/>
    <sheet name="QWEN_35B_Runs" sheetId="6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7" i="7" l="1"/>
  <c r="M77" i="7"/>
  <c r="N76" i="7"/>
  <c r="M76" i="7"/>
  <c r="N75" i="7"/>
  <c r="M75" i="7"/>
  <c r="N74" i="7"/>
  <c r="M74" i="7"/>
  <c r="N73" i="7"/>
  <c r="M73" i="7"/>
  <c r="N72" i="7"/>
  <c r="M72" i="7"/>
  <c r="N71" i="7"/>
  <c r="M71" i="7"/>
  <c r="N70" i="7"/>
  <c r="M70" i="7"/>
  <c r="N69" i="7"/>
  <c r="M69" i="7"/>
  <c r="N68" i="7"/>
  <c r="M68" i="7"/>
  <c r="N67" i="7"/>
  <c r="M67" i="7"/>
  <c r="N66" i="7"/>
  <c r="M66" i="7"/>
  <c r="N65" i="7"/>
  <c r="M65" i="7"/>
  <c r="N64" i="7"/>
  <c r="M64" i="7"/>
  <c r="N63" i="7"/>
  <c r="M63" i="7"/>
  <c r="N62" i="7"/>
  <c r="M62" i="7"/>
  <c r="N61" i="7"/>
  <c r="M61" i="7"/>
  <c r="N60" i="7"/>
  <c r="M60" i="7"/>
  <c r="N59" i="7"/>
  <c r="M59" i="7"/>
  <c r="N58" i="7"/>
  <c r="M58" i="7"/>
  <c r="N57" i="7"/>
  <c r="M57" i="7"/>
  <c r="N56" i="7"/>
  <c r="M56" i="7"/>
  <c r="N55" i="7"/>
  <c r="M55" i="7"/>
  <c r="N54" i="7"/>
  <c r="M54" i="7"/>
  <c r="N46" i="6"/>
  <c r="M46" i="6"/>
  <c r="N45" i="6"/>
  <c r="M45" i="6"/>
  <c r="N44" i="6"/>
  <c r="M44" i="6"/>
  <c r="N43" i="6"/>
  <c r="M43" i="6"/>
  <c r="N42" i="6"/>
  <c r="M42" i="6"/>
  <c r="N41" i="6"/>
  <c r="M41" i="6"/>
  <c r="N40" i="6"/>
  <c r="M40" i="6"/>
  <c r="N39" i="6"/>
  <c r="M39" i="6"/>
  <c r="N38" i="6"/>
  <c r="M38" i="6"/>
  <c r="N37" i="6"/>
  <c r="M37" i="6"/>
  <c r="N36" i="6"/>
  <c r="M36" i="6"/>
  <c r="N35" i="6"/>
  <c r="M35" i="6"/>
  <c r="N34" i="6"/>
  <c r="M34" i="6"/>
  <c r="N33" i="6"/>
  <c r="M33" i="6"/>
  <c r="N32" i="6"/>
  <c r="M32" i="6"/>
  <c r="N31" i="6"/>
  <c r="M31" i="6"/>
  <c r="N30" i="6"/>
  <c r="M30" i="6"/>
  <c r="N29" i="6"/>
  <c r="M29" i="6"/>
  <c r="N28" i="6"/>
  <c r="M28" i="6"/>
  <c r="N27" i="6"/>
  <c r="M27" i="6"/>
  <c r="N26" i="6"/>
  <c r="M26" i="6"/>
  <c r="N25" i="6"/>
  <c r="M25" i="6"/>
  <c r="N24" i="6"/>
  <c r="M24" i="6"/>
  <c r="N23" i="6"/>
  <c r="M23" i="6"/>
  <c r="N22" i="6"/>
  <c r="M22" i="6"/>
  <c r="N21" i="6"/>
  <c r="M21" i="6"/>
  <c r="N20" i="6"/>
  <c r="M20" i="6"/>
  <c r="N19" i="6"/>
  <c r="M19" i="6"/>
  <c r="N18" i="6"/>
  <c r="M18" i="6"/>
  <c r="N17" i="6"/>
  <c r="M17" i="6"/>
  <c r="N16" i="6"/>
  <c r="M16" i="6"/>
  <c r="N15" i="6"/>
  <c r="M15" i="6"/>
  <c r="N14" i="6"/>
  <c r="M14" i="6"/>
  <c r="N13" i="6"/>
  <c r="M13" i="6"/>
  <c r="N12" i="6"/>
  <c r="M12" i="6"/>
  <c r="N11" i="6"/>
  <c r="M11" i="6"/>
  <c r="M10" i="6"/>
  <c r="N10" i="6" s="1"/>
  <c r="N9" i="6"/>
  <c r="M9" i="6"/>
  <c r="N3" i="6"/>
  <c r="M3" i="6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4" authorId="0" shapeId="0" xr:uid="{00000000-0006-0000-0000-000001000000}">
      <text>
        <r>
          <rPr>
            <sz val="10"/>
            <rFont val="Arial"/>
            <family val="2"/>
          </rPr>
          <t>Prefill here is NOT a real measurement: prompt_n = 1 token. It reflects per-request overhead only. Use a long prompt (~1100 tokens) to measure prefill properly.</t>
        </r>
      </text>
    </comment>
    <comment ref="L4" authorId="0" shapeId="0" xr:uid="{00000000-0006-0000-0000-000002000000}">
      <text>
        <r>
          <rPr>
            <sz val="10"/>
            <rFont val="Arial"/>
            <family val="2"/>
          </rPr>
          <t>Y = tg_3s flat across the run (thermally saturated, trustworthy). N = tg_3s declining (still heating). Only Steady=Y rows feed the Summary.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4" authorId="0" shapeId="0" xr:uid="{31F8D930-EE76-4B6F-B866-87D53923CA33}">
      <text>
        <r>
          <rPr>
            <sz val="10"/>
            <rFont val="Arial"/>
            <family val="2"/>
          </rPr>
          <t>Prefill here is NOT a real measurement: prompt_n = 1 token. It reflects per-request overhead only. Use a long prompt (~1100 tokens) to measure prefill properly.</t>
        </r>
      </text>
    </comment>
    <comment ref="L4" authorId="0" shapeId="0" xr:uid="{61A80DD6-0294-4024-9EEA-194BEF104140}">
      <text>
        <r>
          <rPr>
            <sz val="10"/>
            <rFont val="Arial"/>
            <family val="2"/>
          </rPr>
          <t>Y = tg_3s flat across the run (thermally saturated, trustworthy). N = tg_3s declining (still heating). Only Steady=Y rows feed the Summary.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4" authorId="0" shapeId="0" xr:uid="{8D009886-52AA-44C3-826E-791A702CDCBB}">
      <text>
        <r>
          <rPr>
            <sz val="10"/>
            <rFont val="Arial"/>
            <family val="2"/>
          </rPr>
          <t>Prefill here is NOT a real measurement: prompt_n = 1 token. It reflects per-request overhead only. Use a long prompt (~1100 tokens) to measure prefill properly.</t>
        </r>
      </text>
    </comment>
    <comment ref="L4" authorId="0" shapeId="0" xr:uid="{E05B5C3B-95C3-4D99-9D3C-D90D34303A7D}">
      <text>
        <r>
          <rPr>
            <sz val="10"/>
            <rFont val="Arial"/>
            <family val="2"/>
          </rPr>
          <t>Y = tg_3s flat across the run (thermally saturated, trustworthy). N = tg_3s declining (still heating). Only Steady=Y rows feed the Summary.</t>
        </r>
      </text>
    </comment>
  </commentList>
</comments>
</file>

<file path=xl/sharedStrings.xml><?xml version="1.0" encoding="utf-8"?>
<sst xmlns="http://schemas.openxmlformats.org/spreadsheetml/2006/main" count="431" uniqueCount="55">
  <si>
    <t>Benchmark Runs — Snapdragon X2 Elite Extreme (X2E94100)</t>
  </si>
  <si>
    <t>Blue cells = you enter.  Black = calculated.  Append new runs at the bottom; Summary and Chart update automatically.</t>
  </si>
  <si>
    <t>Config ID</t>
  </si>
  <si>
    <t>Date</t>
  </si>
  <si>
    <t>Build</t>
  </si>
  <si>
    <t>Tool</t>
  </si>
  <si>
    <t>Backend</t>
  </si>
  <si>
    <t>MTP</t>
  </si>
  <si>
    <t>n-max</t>
  </si>
  <si>
    <t>Run #</t>
  </si>
  <si>
    <t>Decode t/s</t>
  </si>
  <si>
    <t>Prefill t/s</t>
  </si>
  <si>
    <t>Draft Accept</t>
  </si>
  <si>
    <t>Steady?</t>
  </si>
  <si>
    <t>Bandwidth GB/s</t>
  </si>
  <si>
    <t>% of Peak</t>
  </si>
  <si>
    <t>Notes</t>
  </si>
  <si>
    <t>CPU-No-n0</t>
  </si>
  <si>
    <t>2026-08-14</t>
  </si>
  <si>
    <t>10358 custom</t>
  </si>
  <si>
    <t>llama-server</t>
  </si>
  <si>
    <t>CPU</t>
  </si>
  <si>
    <t>No</t>
  </si>
  <si>
    <t>N</t>
  </si>
  <si>
    <t>cold start / thermal transient</t>
  </si>
  <si>
    <t>Y</t>
  </si>
  <si>
    <t>GPU-No-n0</t>
  </si>
  <si>
    <t>GPU</t>
  </si>
  <si>
    <t>stable from run 0</t>
  </si>
  <si>
    <t>CPU-Yes-n2</t>
  </si>
  <si>
    <t>Yes</t>
  </si>
  <si>
    <t>llama-bench</t>
  </si>
  <si>
    <t>NA</t>
  </si>
  <si>
    <t>r</t>
  </si>
  <si>
    <t>Qwen_Qwen3.6-35B-A3B-Q4_0.gguf</t>
  </si>
  <si>
    <t>With adreno dll</t>
  </si>
  <si>
    <t>Qwen3.6-27B-Q4_0.gguf</t>
  </si>
  <si>
    <t>cold temp start</t>
  </si>
  <si>
    <t>MTP CPU Benchmark Runs — Snapdragon X2 Elite Extreme (X2E94100)</t>
  </si>
  <si>
    <t>Warm-CPU-Yes-n2</t>
  </si>
  <si>
    <t>Warm-CPU-Yes-n3</t>
  </si>
  <si>
    <t>Warm-CPU-Yes-n4</t>
  </si>
  <si>
    <t>Warm-CPU-Yes-n5</t>
  </si>
  <si>
    <t>Warm-CPU-Yes-n6</t>
  </si>
  <si>
    <t>Cold-CPU-Yes-n2</t>
  </si>
  <si>
    <t>Cold-CPU-Yes-n3</t>
  </si>
  <si>
    <t>Cold-CPU-Yes-n4</t>
  </si>
  <si>
    <t>Cold-CPU-Yes-n5</t>
  </si>
  <si>
    <t>Cold-CPU-Yes-n6</t>
  </si>
  <si>
    <t>Warm-GPU-Yes-n2</t>
  </si>
  <si>
    <t>Warm-GPU-Yes-n3</t>
  </si>
  <si>
    <t>warm temp start</t>
  </si>
  <si>
    <t>Warm-GPU-Yes-n4</t>
  </si>
  <si>
    <t>Warm-GPU-Yes-n5</t>
  </si>
  <si>
    <t>Warm-GPU-Yes-n6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</si>
</sst>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2" x14ac:knownFonts="1">
    <font>
      <sz val="11"/>
      <color theme="1"/>
      <name val="Calibri"/>
      <family val="2"/>
      <charset val="1"/>
    </font>
    <font>
      <b/>
      <sz val="13"/>
      <color rgb="FF1F3864"/>
      <name val="Arial"/>
      <charset val="1"/>
    </font>
    <font>
      <sz val="11"/>
      <color theme="1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name val="Arial"/>
      <family val="2"/>
    </font>
    <font>
      <sz val="8"/>
      <name val="Calibri"/>
      <family val="2"/>
      <charset val="1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theme="6" tint="0.59999389629810485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5" fillId="3" borderId="1" xfId="0" applyNumberFormat="1" applyFont="1" applyFill="1" applyBorder="1"/>
    <xf numFmtId="165" fontId="5" fillId="3" borderId="1" xfId="0" applyNumberFormat="1" applyFont="1" applyFill="1" applyBorder="1"/>
    <xf numFmtId="0" fontId="3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5" fillId="0" borderId="1" xfId="0" applyNumberFormat="1" applyFont="1" applyBorder="1"/>
    <xf numFmtId="165" fontId="5" fillId="0" borderId="1" xfId="0" applyNumberFormat="1" applyFont="1" applyBorder="1"/>
    <xf numFmtId="0" fontId="3" fillId="0" borderId="1" xfId="0" applyFont="1" applyBorder="1" applyAlignment="1">
      <alignment horizontal="center"/>
    </xf>
    <xf numFmtId="165" fontId="6" fillId="3" borderId="1" xfId="0" applyNumberFormat="1" applyFont="1" applyFill="1" applyBorder="1" applyAlignment="1">
      <alignment horizontal="center"/>
    </xf>
    <xf numFmtId="164" fontId="5" fillId="0" borderId="0" xfId="0" applyNumberFormat="1" applyFont="1"/>
    <xf numFmtId="165" fontId="5" fillId="0" borderId="0" xfId="0" applyNumberFormat="1" applyFont="1"/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165" fontId="6" fillId="3" borderId="0" xfId="0" applyNumberFormat="1" applyFont="1" applyFill="1" applyAlignment="1">
      <alignment horizontal="center"/>
    </xf>
    <xf numFmtId="164" fontId="5" fillId="3" borderId="0" xfId="0" applyNumberFormat="1" applyFont="1" applyFill="1"/>
    <xf numFmtId="165" fontId="5" fillId="3" borderId="0" xfId="0" applyNumberFormat="1" applyFont="1" applyFill="1"/>
    <xf numFmtId="0" fontId="3" fillId="3" borderId="0" xfId="0" applyFont="1" applyFill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65" fontId="6" fillId="4" borderId="1" xfId="0" applyNumberFormat="1" applyFont="1" applyFill="1" applyBorder="1" applyAlignment="1">
      <alignment horizontal="center"/>
    </xf>
    <xf numFmtId="164" fontId="5" fillId="4" borderId="1" xfId="0" applyNumberFormat="1" applyFont="1" applyFill="1" applyBorder="1"/>
    <xf numFmtId="165" fontId="5" fillId="4" borderId="1" xfId="0" applyNumberFormat="1" applyFont="1" applyFill="1" applyBorder="1"/>
    <xf numFmtId="0" fontId="3" fillId="4" borderId="1" xfId="0" applyFont="1" applyFill="1" applyBorder="1" applyAlignment="1">
      <alignment horizontal="center"/>
    </xf>
    <xf numFmtId="14" fontId="6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zoomScaleNormal="100" workbookViewId="0">
      <pane ySplit="4" topLeftCell="A5" activePane="bottomLeft" state="frozen"/>
      <selection pane="bottomLeft" activeCell="O14" sqref="O14"/>
    </sheetView>
  </sheetViews>
  <sheetFormatPr defaultColWidth="8.6640625" defaultRowHeight="14.25" x14ac:dyDescent="0.45"/>
  <cols>
    <col min="1" max="1" width="14" customWidth="1"/>
    <col min="2" max="2" width="11" customWidth="1"/>
    <col min="3" max="4" width="14" customWidth="1"/>
    <col min="5" max="5" width="9" customWidth="1"/>
    <col min="6" max="6" width="7" customWidth="1"/>
    <col min="7" max="7" width="8" customWidth="1"/>
    <col min="8" max="8" width="7" customWidth="1"/>
    <col min="9" max="10" width="11" customWidth="1"/>
    <col min="11" max="11" width="12" customWidth="1"/>
    <col min="12" max="12" width="9" customWidth="1"/>
    <col min="13" max="13" width="14" customWidth="1"/>
    <col min="14" max="14" width="11" customWidth="1"/>
    <col min="15" max="15" width="42" customWidth="1"/>
  </cols>
  <sheetData>
    <row r="1" spans="1:15" ht="16.899999999999999" x14ac:dyDescent="0.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4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45">
      <c r="A3" s="2" t="s">
        <v>36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26.65" x14ac:dyDescent="0.4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spans="1:15" x14ac:dyDescent="0.45">
      <c r="A5" s="5" t="s">
        <v>17</v>
      </c>
      <c r="B5" s="6" t="s">
        <v>18</v>
      </c>
      <c r="C5" s="6" t="s">
        <v>19</v>
      </c>
      <c r="D5" s="6" t="s">
        <v>20</v>
      </c>
      <c r="E5" s="6" t="s">
        <v>21</v>
      </c>
      <c r="F5" s="6" t="s">
        <v>22</v>
      </c>
      <c r="G5" s="6">
        <v>0</v>
      </c>
      <c r="H5" s="6">
        <v>0</v>
      </c>
      <c r="I5" s="6">
        <v>6.69</v>
      </c>
      <c r="J5" s="6">
        <v>7.87</v>
      </c>
      <c r="K5" s="7"/>
      <c r="L5" s="6" t="s">
        <v>23</v>
      </c>
      <c r="M5" s="8"/>
      <c r="N5" s="9"/>
      <c r="O5" s="10" t="s">
        <v>24</v>
      </c>
    </row>
    <row r="6" spans="1:15" x14ac:dyDescent="0.45">
      <c r="A6" s="11" t="s">
        <v>17</v>
      </c>
      <c r="B6" s="12" t="s">
        <v>18</v>
      </c>
      <c r="C6" s="12" t="s">
        <v>19</v>
      </c>
      <c r="D6" s="12" t="s">
        <v>20</v>
      </c>
      <c r="E6" s="12" t="s">
        <v>21</v>
      </c>
      <c r="F6" s="12" t="s">
        <v>22</v>
      </c>
      <c r="G6" s="12">
        <v>0</v>
      </c>
      <c r="H6" s="12">
        <v>1</v>
      </c>
      <c r="I6" s="12">
        <v>5.2</v>
      </c>
      <c r="J6" s="12">
        <v>5.2</v>
      </c>
      <c r="K6" s="13"/>
      <c r="L6" s="12" t="s">
        <v>25</v>
      </c>
      <c r="M6" s="14"/>
      <c r="N6" s="15"/>
      <c r="O6" s="16"/>
    </row>
    <row r="7" spans="1:15" x14ac:dyDescent="0.45">
      <c r="A7" s="11" t="s">
        <v>17</v>
      </c>
      <c r="B7" s="12" t="s">
        <v>18</v>
      </c>
      <c r="C7" s="12" t="s">
        <v>19</v>
      </c>
      <c r="D7" s="12" t="s">
        <v>20</v>
      </c>
      <c r="E7" s="12" t="s">
        <v>21</v>
      </c>
      <c r="F7" s="12" t="s">
        <v>22</v>
      </c>
      <c r="G7" s="12">
        <v>0</v>
      </c>
      <c r="H7" s="12">
        <v>2</v>
      </c>
      <c r="I7" s="12">
        <v>5.28</v>
      </c>
      <c r="J7" s="12">
        <v>5.2</v>
      </c>
      <c r="K7" s="13"/>
      <c r="L7" s="12" t="s">
        <v>25</v>
      </c>
      <c r="M7" s="14"/>
      <c r="N7" s="15"/>
      <c r="O7" s="16"/>
    </row>
    <row r="8" spans="1:15" x14ac:dyDescent="0.45">
      <c r="A8" s="11" t="s">
        <v>26</v>
      </c>
      <c r="B8" s="12" t="s">
        <v>18</v>
      </c>
      <c r="C8" s="12" t="s">
        <v>19</v>
      </c>
      <c r="D8" s="12" t="s">
        <v>20</v>
      </c>
      <c r="E8" s="12" t="s">
        <v>27</v>
      </c>
      <c r="F8" s="12" t="s">
        <v>22</v>
      </c>
      <c r="G8" s="12">
        <v>0</v>
      </c>
      <c r="H8" s="12">
        <v>0</v>
      </c>
      <c r="I8" s="12">
        <v>6.11</v>
      </c>
      <c r="J8" s="12">
        <v>6</v>
      </c>
      <c r="K8" s="13"/>
      <c r="L8" s="12" t="s">
        <v>25</v>
      </c>
      <c r="M8" s="14"/>
      <c r="N8" s="15"/>
      <c r="O8" s="16" t="s">
        <v>28</v>
      </c>
    </row>
    <row r="9" spans="1:15" x14ac:dyDescent="0.45">
      <c r="A9" s="11" t="s">
        <v>26</v>
      </c>
      <c r="B9" s="12" t="s">
        <v>18</v>
      </c>
      <c r="C9" s="12" t="s">
        <v>19</v>
      </c>
      <c r="D9" s="12" t="s">
        <v>20</v>
      </c>
      <c r="E9" s="12" t="s">
        <v>27</v>
      </c>
      <c r="F9" s="12" t="s">
        <v>22</v>
      </c>
      <c r="G9" s="12">
        <v>0</v>
      </c>
      <c r="H9" s="12">
        <v>1</v>
      </c>
      <c r="I9" s="12">
        <v>6.11</v>
      </c>
      <c r="J9" s="12">
        <v>5.9</v>
      </c>
      <c r="K9" s="13"/>
      <c r="L9" s="12" t="s">
        <v>25</v>
      </c>
      <c r="M9" s="14"/>
      <c r="N9" s="15"/>
      <c r="O9" s="16"/>
    </row>
    <row r="10" spans="1:15" x14ac:dyDescent="0.45">
      <c r="A10" s="11" t="s">
        <v>26</v>
      </c>
      <c r="B10" s="12" t="s">
        <v>18</v>
      </c>
      <c r="C10" s="12" t="s">
        <v>19</v>
      </c>
      <c r="D10" s="12" t="s">
        <v>20</v>
      </c>
      <c r="E10" s="12" t="s">
        <v>27</v>
      </c>
      <c r="F10" s="12" t="s">
        <v>22</v>
      </c>
      <c r="G10" s="12">
        <v>0</v>
      </c>
      <c r="H10" s="12">
        <v>2</v>
      </c>
      <c r="I10" s="12">
        <v>6.1</v>
      </c>
      <c r="J10" s="12">
        <v>6</v>
      </c>
      <c r="K10" s="13"/>
      <c r="L10" s="12" t="s">
        <v>25</v>
      </c>
      <c r="M10" s="14"/>
      <c r="N10" s="15"/>
      <c r="O10" s="16"/>
    </row>
    <row r="11" spans="1:15" x14ac:dyDescent="0.4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18" t="str">
        <f>IF(I11="","",I11*#REF!)</f>
        <v/>
      </c>
      <c r="N11" s="19" t="str">
        <f>IF(I11="","",M11/#REF!)</f>
        <v/>
      </c>
      <c r="O11" s="2"/>
    </row>
    <row r="12" spans="1:15" x14ac:dyDescent="0.4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18" t="str">
        <f>IF(I12="","",I12*#REF!)</f>
        <v/>
      </c>
      <c r="N12" s="19" t="str">
        <f>IF(I12="","",M12/#REF!)</f>
        <v/>
      </c>
      <c r="O12" s="2"/>
    </row>
    <row r="13" spans="1:15" x14ac:dyDescent="0.4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18" t="str">
        <f>IF(I13="","",I13*#REF!)</f>
        <v/>
      </c>
      <c r="N13" s="19" t="str">
        <f>IF(I13="","",M13/#REF!)</f>
        <v/>
      </c>
      <c r="O13" s="2"/>
    </row>
    <row r="14" spans="1:15" x14ac:dyDescent="0.4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18" t="str">
        <f>IF(I14="","",I14*#REF!)</f>
        <v/>
      </c>
      <c r="N14" s="19" t="str">
        <f>IF(I14="","",M14/#REF!)</f>
        <v/>
      </c>
      <c r="O14" s="2"/>
    </row>
    <row r="15" spans="1:15" x14ac:dyDescent="0.4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8" t="str">
        <f>IF(I15="","",I15*#REF!)</f>
        <v/>
      </c>
      <c r="N15" s="19" t="str">
        <f>IF(I15="","",M15/#REF!)</f>
        <v/>
      </c>
      <c r="O15" s="2"/>
    </row>
    <row r="16" spans="1:15" x14ac:dyDescent="0.4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18" t="str">
        <f>IF(I16="","",I16*#REF!)</f>
        <v/>
      </c>
      <c r="N16" s="19" t="str">
        <f>IF(I16="","",M16/#REF!)</f>
        <v/>
      </c>
      <c r="O16" s="2"/>
    </row>
    <row r="17" spans="1:15" x14ac:dyDescent="0.4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18" t="str">
        <f>IF(I17="","",I17*#REF!)</f>
        <v/>
      </c>
      <c r="N17" s="19" t="str">
        <f>IF(I17="","",M17/#REF!)</f>
        <v/>
      </c>
      <c r="O17" s="2"/>
    </row>
    <row r="18" spans="1:15" x14ac:dyDescent="0.4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18" t="str">
        <f>IF(I18="","",I18*#REF!)</f>
        <v/>
      </c>
      <c r="N18" s="19" t="str">
        <f>IF(I18="","",M18/#REF!)</f>
        <v/>
      </c>
      <c r="O18" s="2"/>
    </row>
    <row r="19" spans="1:15" x14ac:dyDescent="0.4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18" t="str">
        <f>IF(I19="","",I19*#REF!)</f>
        <v/>
      </c>
      <c r="N19" s="19" t="str">
        <f>IF(I19="","",M19/#REF!)</f>
        <v/>
      </c>
      <c r="O19" s="2"/>
    </row>
    <row r="20" spans="1:15" x14ac:dyDescent="0.4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18" t="str">
        <f>IF(I20="","",I20*#REF!)</f>
        <v/>
      </c>
      <c r="N20" s="19" t="str">
        <f>IF(I20="","",M20/#REF!)</f>
        <v/>
      </c>
      <c r="O20" s="2"/>
    </row>
    <row r="21" spans="1:15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18" t="str">
        <f>IF(I21="","",I21*#REF!)</f>
        <v/>
      </c>
      <c r="N21" s="19" t="str">
        <f>IF(I21="","",M21/#REF!)</f>
        <v/>
      </c>
      <c r="O21" s="2"/>
    </row>
    <row r="22" spans="1:15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18" t="str">
        <f>IF(I22="","",I22*#REF!)</f>
        <v/>
      </c>
      <c r="N22" s="19" t="str">
        <f>IF(I22="","",M22/#REF!)</f>
        <v/>
      </c>
      <c r="O22" s="2"/>
    </row>
    <row r="23" spans="1:15" x14ac:dyDescent="0.4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18" t="str">
        <f>IF(I23="","",I23*#REF!)</f>
        <v/>
      </c>
      <c r="N23" s="19" t="str">
        <f>IF(I23="","",M23/#REF!)</f>
        <v/>
      </c>
      <c r="O23" s="2"/>
    </row>
    <row r="24" spans="1:15" x14ac:dyDescent="0.4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18" t="str">
        <f>IF(I24="","",I24*#REF!)</f>
        <v/>
      </c>
      <c r="N24" s="19" t="str">
        <f>IF(I24="","",M24/#REF!)</f>
        <v/>
      </c>
      <c r="O24" s="2"/>
    </row>
    <row r="25" spans="1:15" x14ac:dyDescent="0.4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18" t="str">
        <f>IF(I25="","",I25*#REF!)</f>
        <v/>
      </c>
      <c r="N25" s="19" t="str">
        <f>IF(I25="","",M25/#REF!)</f>
        <v/>
      </c>
      <c r="O25" s="2"/>
    </row>
    <row r="26" spans="1:15" x14ac:dyDescent="0.4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18" t="str">
        <f>IF(I26="","",I26*#REF!)</f>
        <v/>
      </c>
      <c r="N26" s="19" t="str">
        <f>IF(I26="","",M26/#REF!)</f>
        <v/>
      </c>
      <c r="O26" s="2"/>
    </row>
    <row r="27" spans="1:15" x14ac:dyDescent="0.4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18" t="str">
        <f>IF(I27="","",I27*#REF!)</f>
        <v/>
      </c>
      <c r="N27" s="19" t="str">
        <f>IF(I27="","",M27/#REF!)</f>
        <v/>
      </c>
      <c r="O27" s="2"/>
    </row>
    <row r="28" spans="1:15" x14ac:dyDescent="0.4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18" t="str">
        <f>IF(I28="","",I28*#REF!)</f>
        <v/>
      </c>
      <c r="N28" s="19" t="str">
        <f>IF(I28="","",M28/#REF!)</f>
        <v/>
      </c>
      <c r="O28" s="2"/>
    </row>
    <row r="29" spans="1:15" x14ac:dyDescent="0.4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18" t="str">
        <f>IF(I29="","",I29*#REF!)</f>
        <v/>
      </c>
      <c r="N29" s="19" t="str">
        <f>IF(I29="","",M29/#REF!)</f>
        <v/>
      </c>
      <c r="O29" s="2"/>
    </row>
    <row r="30" spans="1:15" x14ac:dyDescent="0.45">
      <c r="A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18" t="str">
        <f>IF(I30="","",I30*#REF!)</f>
        <v/>
      </c>
      <c r="N30" s="19" t="str">
        <f>IF(I30="","",M30/#REF!)</f>
        <v/>
      </c>
      <c r="O30" s="2"/>
    </row>
    <row r="31" spans="1:15" x14ac:dyDescent="0.45">
      <c r="A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18" t="str">
        <f>IF(I31="","",I31*#REF!)</f>
        <v/>
      </c>
      <c r="N31" s="19" t="str">
        <f>IF(I31="","",M31/#REF!)</f>
        <v/>
      </c>
      <c r="O31" s="2"/>
    </row>
    <row r="32" spans="1:15" x14ac:dyDescent="0.45">
      <c r="A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18" t="str">
        <f>IF(I32="","",I32*#REF!)</f>
        <v/>
      </c>
      <c r="N32" s="19" t="str">
        <f>IF(I32="","",M32/#REF!)</f>
        <v/>
      </c>
      <c r="O32" s="2"/>
    </row>
  </sheetData>
  <phoneticPr fontId="8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67AA0-4E2E-4440-979A-8913085299E4}">
  <dimension ref="A1:O77"/>
  <sheetViews>
    <sheetView zoomScaleNormal="100" workbookViewId="0">
      <pane ySplit="4" topLeftCell="A5" activePane="bottomLeft" state="frozen"/>
      <selection pane="bottomLeft" activeCell="J57" sqref="J57"/>
    </sheetView>
  </sheetViews>
  <sheetFormatPr defaultColWidth="8.6640625" defaultRowHeight="14.25" x14ac:dyDescent="0.45"/>
  <cols>
    <col min="1" max="1" width="28.73046875" customWidth="1"/>
    <col min="2" max="2" width="11" customWidth="1"/>
    <col min="3" max="4" width="14" customWidth="1"/>
    <col min="5" max="5" width="9" customWidth="1"/>
    <col min="6" max="6" width="7" customWidth="1"/>
    <col min="7" max="7" width="8" customWidth="1"/>
    <col min="8" max="8" width="7" customWidth="1"/>
    <col min="9" max="10" width="11" customWidth="1"/>
    <col min="11" max="11" width="12" customWidth="1"/>
    <col min="12" max="12" width="9" customWidth="1"/>
    <col min="13" max="13" width="14" customWidth="1"/>
    <col min="14" max="14" width="11" customWidth="1"/>
    <col min="15" max="15" width="42" customWidth="1"/>
  </cols>
  <sheetData>
    <row r="1" spans="1:15" ht="16.899999999999999" x14ac:dyDescent="0.5">
      <c r="A1" s="1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4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45">
      <c r="A3" s="2" t="s">
        <v>36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26.65" x14ac:dyDescent="0.4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spans="1:15" x14ac:dyDescent="0.45">
      <c r="A5" s="33" t="s">
        <v>39</v>
      </c>
      <c r="B5" s="6" t="s">
        <v>18</v>
      </c>
      <c r="C5" s="6" t="s">
        <v>19</v>
      </c>
      <c r="D5" s="6" t="s">
        <v>20</v>
      </c>
      <c r="E5" s="6" t="s">
        <v>21</v>
      </c>
      <c r="F5" s="6" t="s">
        <v>30</v>
      </c>
      <c r="G5" s="6">
        <v>2</v>
      </c>
      <c r="H5" s="6">
        <v>0</v>
      </c>
      <c r="I5" s="6">
        <v>11.5</v>
      </c>
      <c r="J5" s="6">
        <v>7.97</v>
      </c>
      <c r="K5" s="17">
        <v>0.91</v>
      </c>
      <c r="L5" s="6" t="s">
        <v>23</v>
      </c>
      <c r="M5" s="8"/>
      <c r="N5" s="9"/>
      <c r="O5" s="10"/>
    </row>
    <row r="6" spans="1:15" x14ac:dyDescent="0.45">
      <c r="A6" s="33" t="s">
        <v>39</v>
      </c>
      <c r="B6" s="6" t="s">
        <v>18</v>
      </c>
      <c r="C6" s="6" t="s">
        <v>19</v>
      </c>
      <c r="D6" s="6" t="s">
        <v>20</v>
      </c>
      <c r="E6" s="6" t="s">
        <v>21</v>
      </c>
      <c r="F6" s="6" t="s">
        <v>30</v>
      </c>
      <c r="G6" s="6">
        <v>2</v>
      </c>
      <c r="H6" s="6">
        <v>1</v>
      </c>
      <c r="I6" s="6">
        <v>9.94</v>
      </c>
      <c r="J6" s="6">
        <v>7.83</v>
      </c>
      <c r="K6" s="17">
        <v>0.91</v>
      </c>
      <c r="L6" s="6" t="s">
        <v>23</v>
      </c>
      <c r="M6" s="8"/>
      <c r="N6" s="9"/>
      <c r="O6" s="10"/>
    </row>
    <row r="7" spans="1:15" x14ac:dyDescent="0.45">
      <c r="A7" s="33" t="s">
        <v>39</v>
      </c>
      <c r="B7" s="6" t="s">
        <v>18</v>
      </c>
      <c r="C7" s="6" t="s">
        <v>19</v>
      </c>
      <c r="D7" s="6" t="s">
        <v>20</v>
      </c>
      <c r="E7" s="6" t="s">
        <v>21</v>
      </c>
      <c r="F7" s="6" t="s">
        <v>30</v>
      </c>
      <c r="G7" s="6">
        <v>2</v>
      </c>
      <c r="H7" s="6">
        <v>2</v>
      </c>
      <c r="I7" s="6">
        <v>6.58</v>
      </c>
      <c r="J7" s="6">
        <v>5.24</v>
      </c>
      <c r="K7" s="17">
        <v>0.91</v>
      </c>
      <c r="L7" s="6" t="s">
        <v>23</v>
      </c>
      <c r="M7" s="8"/>
      <c r="N7" s="9"/>
      <c r="O7" s="10"/>
    </row>
    <row r="8" spans="1:15" x14ac:dyDescent="0.45">
      <c r="A8" s="33" t="s">
        <v>40</v>
      </c>
      <c r="B8" s="6" t="s">
        <v>18</v>
      </c>
      <c r="C8" s="6" t="s">
        <v>19</v>
      </c>
      <c r="D8" s="6" t="s">
        <v>20</v>
      </c>
      <c r="E8" s="6" t="s">
        <v>21</v>
      </c>
      <c r="F8" s="6" t="s">
        <v>30</v>
      </c>
      <c r="G8" s="6">
        <v>3</v>
      </c>
      <c r="H8" s="6">
        <v>0</v>
      </c>
      <c r="I8" s="6">
        <v>18.55</v>
      </c>
      <c r="J8" s="6">
        <v>7.95</v>
      </c>
      <c r="K8" s="17">
        <v>0.84</v>
      </c>
      <c r="L8" s="6" t="s">
        <v>23</v>
      </c>
      <c r="M8" s="8"/>
      <c r="N8" s="9"/>
      <c r="O8" s="10"/>
    </row>
    <row r="9" spans="1:15" x14ac:dyDescent="0.45">
      <c r="A9" s="33" t="s">
        <v>40</v>
      </c>
      <c r="B9" s="6" t="s">
        <v>18</v>
      </c>
      <c r="C9" s="6" t="s">
        <v>19</v>
      </c>
      <c r="D9" s="6" t="s">
        <v>20</v>
      </c>
      <c r="E9" s="6" t="s">
        <v>21</v>
      </c>
      <c r="F9" s="6" t="s">
        <v>30</v>
      </c>
      <c r="G9" s="6">
        <v>3</v>
      </c>
      <c r="H9" s="6">
        <v>1</v>
      </c>
      <c r="I9" s="6">
        <v>16.02</v>
      </c>
      <c r="J9" s="6">
        <v>7.68</v>
      </c>
      <c r="K9" s="17">
        <v>0.84</v>
      </c>
      <c r="L9" s="6" t="s">
        <v>23</v>
      </c>
      <c r="M9" s="8"/>
      <c r="N9" s="9"/>
      <c r="O9" s="10"/>
    </row>
    <row r="10" spans="1:15" x14ac:dyDescent="0.45">
      <c r="A10" s="33" t="s">
        <v>40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30</v>
      </c>
      <c r="G10" s="6">
        <v>3</v>
      </c>
      <c r="H10" s="6">
        <v>2</v>
      </c>
      <c r="I10" s="6">
        <v>12.07</v>
      </c>
      <c r="J10" s="6">
        <v>6.53</v>
      </c>
      <c r="K10" s="17">
        <v>0.84</v>
      </c>
      <c r="L10" s="6" t="s">
        <v>23</v>
      </c>
      <c r="M10" s="8"/>
      <c r="N10" s="9"/>
      <c r="O10" s="10"/>
    </row>
    <row r="11" spans="1:15" x14ac:dyDescent="0.45">
      <c r="A11" s="33" t="s">
        <v>41</v>
      </c>
      <c r="B11" s="6" t="s">
        <v>18</v>
      </c>
      <c r="C11" s="6" t="s">
        <v>19</v>
      </c>
      <c r="D11" s="6" t="s">
        <v>20</v>
      </c>
      <c r="E11" s="6" t="s">
        <v>21</v>
      </c>
      <c r="F11" s="6" t="s">
        <v>30</v>
      </c>
      <c r="G11" s="6">
        <v>4</v>
      </c>
      <c r="H11" s="6">
        <v>0</v>
      </c>
      <c r="I11" s="6">
        <v>16.04</v>
      </c>
      <c r="J11" s="6">
        <v>7.86</v>
      </c>
      <c r="K11" s="17">
        <v>0.79</v>
      </c>
      <c r="L11" s="6" t="s">
        <v>23</v>
      </c>
      <c r="M11" s="8"/>
      <c r="N11" s="9"/>
      <c r="O11" s="10"/>
    </row>
    <row r="12" spans="1:15" x14ac:dyDescent="0.45">
      <c r="A12" s="33" t="s">
        <v>41</v>
      </c>
      <c r="B12" s="6" t="s">
        <v>18</v>
      </c>
      <c r="C12" s="6" t="s">
        <v>19</v>
      </c>
      <c r="D12" s="6" t="s">
        <v>20</v>
      </c>
      <c r="E12" s="6" t="s">
        <v>21</v>
      </c>
      <c r="F12" s="6" t="s">
        <v>30</v>
      </c>
      <c r="G12" s="6">
        <v>4</v>
      </c>
      <c r="H12" s="6">
        <v>1</v>
      </c>
      <c r="I12" s="6">
        <v>15.42</v>
      </c>
      <c r="J12" s="6">
        <v>7.71</v>
      </c>
      <c r="K12" s="17">
        <v>0.79</v>
      </c>
      <c r="L12" s="6" t="s">
        <v>23</v>
      </c>
      <c r="M12" s="8"/>
      <c r="N12" s="9"/>
      <c r="O12" s="10"/>
    </row>
    <row r="13" spans="1:15" x14ac:dyDescent="0.45">
      <c r="A13" s="33" t="s">
        <v>41</v>
      </c>
      <c r="B13" s="6" t="s">
        <v>18</v>
      </c>
      <c r="C13" s="6" t="s">
        <v>19</v>
      </c>
      <c r="D13" s="6" t="s">
        <v>20</v>
      </c>
      <c r="E13" s="6" t="s">
        <v>21</v>
      </c>
      <c r="F13" s="6" t="s">
        <v>30</v>
      </c>
      <c r="G13" s="6">
        <v>4</v>
      </c>
      <c r="H13" s="6">
        <v>2</v>
      </c>
      <c r="I13" s="6">
        <v>12.44</v>
      </c>
      <c r="J13" s="6">
        <v>7.38</v>
      </c>
      <c r="K13" s="17">
        <v>0.79</v>
      </c>
      <c r="L13" s="6" t="s">
        <v>23</v>
      </c>
      <c r="M13" s="8"/>
      <c r="N13" s="9"/>
      <c r="O13" s="10"/>
    </row>
    <row r="14" spans="1:15" x14ac:dyDescent="0.45">
      <c r="A14" s="33" t="s">
        <v>42</v>
      </c>
      <c r="B14" s="6" t="s">
        <v>18</v>
      </c>
      <c r="C14" s="6" t="s">
        <v>19</v>
      </c>
      <c r="D14" s="6" t="s">
        <v>20</v>
      </c>
      <c r="E14" s="6" t="s">
        <v>21</v>
      </c>
      <c r="F14" s="6" t="s">
        <v>30</v>
      </c>
      <c r="G14" s="6">
        <v>5</v>
      </c>
      <c r="H14" s="6">
        <v>0</v>
      </c>
      <c r="I14" s="6">
        <v>15.51</v>
      </c>
      <c r="J14" s="6">
        <v>7.87</v>
      </c>
      <c r="K14" s="17">
        <v>0.77</v>
      </c>
      <c r="L14" s="6" t="s">
        <v>23</v>
      </c>
      <c r="M14" s="8"/>
      <c r="N14" s="9"/>
      <c r="O14" s="10"/>
    </row>
    <row r="15" spans="1:15" x14ac:dyDescent="0.45">
      <c r="A15" s="33" t="s">
        <v>42</v>
      </c>
      <c r="B15" s="6" t="s">
        <v>18</v>
      </c>
      <c r="C15" s="6" t="s">
        <v>19</v>
      </c>
      <c r="D15" s="6" t="s">
        <v>20</v>
      </c>
      <c r="E15" s="6" t="s">
        <v>21</v>
      </c>
      <c r="F15" s="6" t="s">
        <v>30</v>
      </c>
      <c r="G15" s="6">
        <v>5</v>
      </c>
      <c r="H15" s="6">
        <v>1</v>
      </c>
      <c r="I15" s="6">
        <v>14.5</v>
      </c>
      <c r="J15" s="6">
        <v>7.73</v>
      </c>
      <c r="K15" s="17">
        <v>0.77</v>
      </c>
      <c r="L15" s="6" t="s">
        <v>23</v>
      </c>
      <c r="M15" s="8"/>
      <c r="N15" s="9"/>
      <c r="O15" s="10"/>
    </row>
    <row r="16" spans="1:15" x14ac:dyDescent="0.45">
      <c r="A16" s="33" t="s">
        <v>42</v>
      </c>
      <c r="B16" s="6" t="s">
        <v>18</v>
      </c>
      <c r="C16" s="6" t="s">
        <v>19</v>
      </c>
      <c r="D16" s="6" t="s">
        <v>20</v>
      </c>
      <c r="E16" s="6" t="s">
        <v>21</v>
      </c>
      <c r="F16" s="6" t="s">
        <v>30</v>
      </c>
      <c r="G16" s="6">
        <v>5</v>
      </c>
      <c r="H16" s="6">
        <v>2</v>
      </c>
      <c r="I16" s="6">
        <v>8.61</v>
      </c>
      <c r="J16" s="6">
        <v>4.47</v>
      </c>
      <c r="K16" s="17">
        <v>0.77</v>
      </c>
      <c r="L16" s="6" t="s">
        <v>23</v>
      </c>
      <c r="M16" s="8"/>
      <c r="N16" s="9"/>
      <c r="O16" s="10"/>
    </row>
    <row r="17" spans="1:15" x14ac:dyDescent="0.45">
      <c r="A17" s="33" t="s">
        <v>43</v>
      </c>
      <c r="B17" s="6" t="s">
        <v>18</v>
      </c>
      <c r="C17" s="6" t="s">
        <v>19</v>
      </c>
      <c r="D17" s="6" t="s">
        <v>20</v>
      </c>
      <c r="E17" s="6" t="s">
        <v>21</v>
      </c>
      <c r="F17" s="6" t="s">
        <v>30</v>
      </c>
      <c r="G17" s="6">
        <v>6</v>
      </c>
      <c r="H17" s="6">
        <v>0</v>
      </c>
      <c r="I17" s="6">
        <v>13.36</v>
      </c>
      <c r="J17" s="6">
        <v>7.23</v>
      </c>
      <c r="K17" s="17">
        <v>0.69</v>
      </c>
      <c r="L17" s="6" t="s">
        <v>23</v>
      </c>
      <c r="M17" s="8"/>
      <c r="N17" s="9"/>
      <c r="O17" s="10"/>
    </row>
    <row r="18" spans="1:15" x14ac:dyDescent="0.45">
      <c r="A18" s="33" t="s">
        <v>43</v>
      </c>
      <c r="B18" s="6" t="s">
        <v>18</v>
      </c>
      <c r="C18" s="6" t="s">
        <v>19</v>
      </c>
      <c r="D18" s="6" t="s">
        <v>20</v>
      </c>
      <c r="E18" s="6" t="s">
        <v>21</v>
      </c>
      <c r="F18" s="6" t="s">
        <v>30</v>
      </c>
      <c r="G18" s="6">
        <v>6</v>
      </c>
      <c r="H18" s="6">
        <v>1</v>
      </c>
      <c r="I18" s="6">
        <v>13.07</v>
      </c>
      <c r="J18" s="6">
        <v>7.55</v>
      </c>
      <c r="K18" s="17">
        <v>0.69</v>
      </c>
      <c r="L18" s="6" t="s">
        <v>23</v>
      </c>
      <c r="M18" s="8"/>
      <c r="N18" s="9"/>
      <c r="O18" s="10"/>
    </row>
    <row r="19" spans="1:15" x14ac:dyDescent="0.45">
      <c r="A19" s="33" t="s">
        <v>43</v>
      </c>
      <c r="B19" s="6" t="s">
        <v>18</v>
      </c>
      <c r="C19" s="6" t="s">
        <v>19</v>
      </c>
      <c r="D19" s="6" t="s">
        <v>20</v>
      </c>
      <c r="E19" s="6" t="s">
        <v>21</v>
      </c>
      <c r="F19" s="6" t="s">
        <v>30</v>
      </c>
      <c r="G19" s="6">
        <v>6</v>
      </c>
      <c r="H19" s="6">
        <v>2</v>
      </c>
      <c r="I19" s="6">
        <v>7.93</v>
      </c>
      <c r="J19" s="6">
        <v>7.55</v>
      </c>
      <c r="K19" s="17">
        <v>0.69</v>
      </c>
      <c r="L19" s="6" t="s">
        <v>23</v>
      </c>
      <c r="M19" s="8"/>
      <c r="N19" s="9"/>
      <c r="O19" s="10"/>
    </row>
    <row r="20" spans="1:15" x14ac:dyDescent="0.45">
      <c r="A20" s="20"/>
      <c r="B20" s="21"/>
      <c r="C20" s="21"/>
      <c r="D20" s="21"/>
      <c r="E20" s="21"/>
      <c r="F20" s="21"/>
      <c r="G20" s="21"/>
      <c r="H20" s="21"/>
      <c r="I20" s="21"/>
      <c r="J20" s="21"/>
      <c r="K20" s="22"/>
      <c r="L20" s="21"/>
      <c r="M20" s="23"/>
      <c r="N20" s="24"/>
      <c r="O20" s="25"/>
    </row>
    <row r="21" spans="1:15" x14ac:dyDescent="0.45">
      <c r="A21" s="20" t="s">
        <v>37</v>
      </c>
      <c r="B21" s="21"/>
      <c r="C21" s="21"/>
      <c r="D21" s="21"/>
      <c r="E21" s="21"/>
      <c r="F21" s="21"/>
      <c r="G21" s="21"/>
      <c r="H21" s="21"/>
      <c r="I21" s="21"/>
      <c r="J21" s="21"/>
      <c r="K21" s="22"/>
      <c r="L21" s="21"/>
      <c r="M21" s="23"/>
      <c r="N21" s="24"/>
      <c r="O21" s="25"/>
    </row>
    <row r="22" spans="1:15" x14ac:dyDescent="0.45">
      <c r="A22" s="33" t="s">
        <v>44</v>
      </c>
      <c r="B22" s="32">
        <v>46252</v>
      </c>
      <c r="C22" s="6" t="s">
        <v>19</v>
      </c>
      <c r="D22" s="6" t="s">
        <v>20</v>
      </c>
      <c r="E22" s="6" t="s">
        <v>21</v>
      </c>
      <c r="F22" s="6" t="s">
        <v>30</v>
      </c>
      <c r="G22" s="6">
        <v>2</v>
      </c>
      <c r="H22" s="6">
        <v>0</v>
      </c>
      <c r="I22" s="6">
        <v>10.99</v>
      </c>
      <c r="J22" s="6">
        <v>7.55</v>
      </c>
      <c r="K22" s="17">
        <v>0.91</v>
      </c>
      <c r="L22" s="6" t="s">
        <v>25</v>
      </c>
      <c r="M22" s="8"/>
      <c r="N22" s="9"/>
      <c r="O22" s="10"/>
    </row>
    <row r="23" spans="1:15" x14ac:dyDescent="0.45">
      <c r="A23" s="33" t="s">
        <v>44</v>
      </c>
      <c r="B23" s="32">
        <v>46252</v>
      </c>
      <c r="C23" s="6" t="s">
        <v>19</v>
      </c>
      <c r="D23" s="6" t="s">
        <v>20</v>
      </c>
      <c r="E23" s="6" t="s">
        <v>21</v>
      </c>
      <c r="F23" s="6" t="s">
        <v>30</v>
      </c>
      <c r="G23" s="6">
        <v>2</v>
      </c>
      <c r="H23" s="6">
        <v>1</v>
      </c>
      <c r="I23" s="6">
        <v>10.64</v>
      </c>
      <c r="J23" s="6">
        <v>7.56</v>
      </c>
      <c r="K23" s="17">
        <v>0.91</v>
      </c>
      <c r="L23" s="6" t="s">
        <v>25</v>
      </c>
      <c r="M23" s="8"/>
      <c r="N23" s="9"/>
      <c r="O23" s="10"/>
    </row>
    <row r="24" spans="1:15" x14ac:dyDescent="0.45">
      <c r="A24" s="33" t="s">
        <v>44</v>
      </c>
      <c r="B24" s="32">
        <v>46252</v>
      </c>
      <c r="C24" s="6" t="s">
        <v>19</v>
      </c>
      <c r="D24" s="6" t="s">
        <v>20</v>
      </c>
      <c r="E24" s="6" t="s">
        <v>21</v>
      </c>
      <c r="F24" s="6" t="s">
        <v>30</v>
      </c>
      <c r="G24" s="6">
        <v>2</v>
      </c>
      <c r="H24" s="6">
        <v>2</v>
      </c>
      <c r="I24" s="6">
        <v>10.35</v>
      </c>
      <c r="J24" s="6">
        <v>7.46</v>
      </c>
      <c r="K24" s="17">
        <v>0.91</v>
      </c>
      <c r="L24" s="6" t="s">
        <v>25</v>
      </c>
      <c r="M24" s="8"/>
      <c r="N24" s="9"/>
      <c r="O24" s="10"/>
    </row>
    <row r="25" spans="1:15" x14ac:dyDescent="0.45">
      <c r="A25" s="33" t="s">
        <v>45</v>
      </c>
      <c r="B25" s="32">
        <v>46252</v>
      </c>
      <c r="C25" s="6" t="s">
        <v>19</v>
      </c>
      <c r="D25" s="6" t="s">
        <v>20</v>
      </c>
      <c r="E25" s="6" t="s">
        <v>21</v>
      </c>
      <c r="F25" s="6" t="s">
        <v>30</v>
      </c>
      <c r="G25" s="6">
        <v>3</v>
      </c>
      <c r="H25" s="6">
        <v>0</v>
      </c>
      <c r="I25" s="6">
        <v>16.989999999999998</v>
      </c>
      <c r="J25" s="6">
        <v>7.43</v>
      </c>
      <c r="K25" s="17">
        <v>0.84</v>
      </c>
      <c r="L25" s="6" t="s">
        <v>25</v>
      </c>
      <c r="M25" s="8"/>
      <c r="N25" s="9"/>
      <c r="O25" s="10"/>
    </row>
    <row r="26" spans="1:15" x14ac:dyDescent="0.45">
      <c r="A26" s="33" t="s">
        <v>45</v>
      </c>
      <c r="B26" s="32">
        <v>46252</v>
      </c>
      <c r="C26" s="6" t="s">
        <v>19</v>
      </c>
      <c r="D26" s="6" t="s">
        <v>20</v>
      </c>
      <c r="E26" s="6" t="s">
        <v>21</v>
      </c>
      <c r="F26" s="6" t="s">
        <v>30</v>
      </c>
      <c r="G26" s="6">
        <v>3</v>
      </c>
      <c r="H26" s="6">
        <v>1</v>
      </c>
      <c r="I26" s="6">
        <v>16.36</v>
      </c>
      <c r="J26" s="6">
        <v>6.63</v>
      </c>
      <c r="K26" s="17">
        <v>0.84</v>
      </c>
      <c r="L26" s="6" t="s">
        <v>25</v>
      </c>
      <c r="M26" s="8"/>
      <c r="N26" s="9"/>
      <c r="O26" s="10"/>
    </row>
    <row r="27" spans="1:15" x14ac:dyDescent="0.45">
      <c r="A27" s="33" t="s">
        <v>45</v>
      </c>
      <c r="B27" s="32">
        <v>46252</v>
      </c>
      <c r="C27" s="6" t="s">
        <v>19</v>
      </c>
      <c r="D27" s="6" t="s">
        <v>20</v>
      </c>
      <c r="E27" s="6" t="s">
        <v>21</v>
      </c>
      <c r="F27" s="6" t="s">
        <v>30</v>
      </c>
      <c r="G27" s="6">
        <v>3</v>
      </c>
      <c r="H27" s="6">
        <v>2</v>
      </c>
      <c r="I27" s="6">
        <v>16.850000000000001</v>
      </c>
      <c r="J27" s="6">
        <v>7.48</v>
      </c>
      <c r="K27" s="17">
        <v>0.84</v>
      </c>
      <c r="L27" s="6" t="s">
        <v>25</v>
      </c>
      <c r="M27" s="8"/>
      <c r="N27" s="9"/>
      <c r="O27" s="10"/>
    </row>
    <row r="28" spans="1:15" x14ac:dyDescent="0.45">
      <c r="A28" s="33" t="s">
        <v>46</v>
      </c>
      <c r="B28" s="32">
        <v>46252</v>
      </c>
      <c r="C28" s="6" t="s">
        <v>19</v>
      </c>
      <c r="D28" s="6" t="s">
        <v>20</v>
      </c>
      <c r="E28" s="6" t="s">
        <v>21</v>
      </c>
      <c r="F28" s="6" t="s">
        <v>30</v>
      </c>
      <c r="G28" s="6">
        <v>4</v>
      </c>
      <c r="H28" s="6">
        <v>0</v>
      </c>
      <c r="I28" s="6">
        <v>15.44</v>
      </c>
      <c r="J28" s="6">
        <v>7.18</v>
      </c>
      <c r="K28" s="17">
        <v>0.79</v>
      </c>
      <c r="L28" s="6" t="s">
        <v>25</v>
      </c>
      <c r="M28" s="8"/>
      <c r="N28" s="9"/>
      <c r="O28" s="10"/>
    </row>
    <row r="29" spans="1:15" x14ac:dyDescent="0.45">
      <c r="A29" s="33" t="s">
        <v>46</v>
      </c>
      <c r="B29" s="32">
        <v>46252</v>
      </c>
      <c r="C29" s="6" t="s">
        <v>19</v>
      </c>
      <c r="D29" s="6" t="s">
        <v>20</v>
      </c>
      <c r="E29" s="6" t="s">
        <v>21</v>
      </c>
      <c r="F29" s="6" t="s">
        <v>30</v>
      </c>
      <c r="G29" s="6">
        <v>4</v>
      </c>
      <c r="H29" s="6">
        <v>1</v>
      </c>
      <c r="I29" s="6">
        <v>15.18</v>
      </c>
      <c r="J29" s="6">
        <v>7.5</v>
      </c>
      <c r="K29" s="17">
        <v>0.79</v>
      </c>
      <c r="L29" s="6" t="s">
        <v>25</v>
      </c>
      <c r="M29" s="8"/>
      <c r="N29" s="9"/>
      <c r="O29" s="10"/>
    </row>
    <row r="30" spans="1:15" x14ac:dyDescent="0.45">
      <c r="A30" s="33" t="s">
        <v>46</v>
      </c>
      <c r="B30" s="32">
        <v>46252</v>
      </c>
      <c r="C30" s="6" t="s">
        <v>19</v>
      </c>
      <c r="D30" s="6" t="s">
        <v>20</v>
      </c>
      <c r="E30" s="6" t="s">
        <v>21</v>
      </c>
      <c r="F30" s="6" t="s">
        <v>30</v>
      </c>
      <c r="G30" s="6">
        <v>4</v>
      </c>
      <c r="H30" s="6">
        <v>2</v>
      </c>
      <c r="I30" s="6">
        <v>14.9</v>
      </c>
      <c r="J30" s="6">
        <v>7.62</v>
      </c>
      <c r="K30" s="17">
        <v>0.79</v>
      </c>
      <c r="L30" s="6" t="s">
        <v>25</v>
      </c>
      <c r="M30" s="8"/>
      <c r="N30" s="9"/>
      <c r="O30" s="10"/>
    </row>
    <row r="31" spans="1:15" x14ac:dyDescent="0.45">
      <c r="A31" s="33" t="s">
        <v>47</v>
      </c>
      <c r="B31" s="32">
        <v>46252</v>
      </c>
      <c r="C31" s="6" t="s">
        <v>19</v>
      </c>
      <c r="D31" s="6" t="s">
        <v>20</v>
      </c>
      <c r="E31" s="6" t="s">
        <v>21</v>
      </c>
      <c r="F31" s="6" t="s">
        <v>30</v>
      </c>
      <c r="G31" s="6">
        <v>5</v>
      </c>
      <c r="H31" s="6">
        <v>0</v>
      </c>
      <c r="I31" s="6">
        <v>15.28</v>
      </c>
      <c r="J31" s="6">
        <v>7.34</v>
      </c>
      <c r="K31" s="17">
        <v>0.77</v>
      </c>
      <c r="L31" s="6" t="s">
        <v>25</v>
      </c>
      <c r="M31" s="8"/>
      <c r="N31" s="9"/>
      <c r="O31" s="10"/>
    </row>
    <row r="32" spans="1:15" x14ac:dyDescent="0.45">
      <c r="A32" s="33" t="s">
        <v>47</v>
      </c>
      <c r="B32" s="32">
        <v>46252</v>
      </c>
      <c r="C32" s="6" t="s">
        <v>19</v>
      </c>
      <c r="D32" s="6" t="s">
        <v>20</v>
      </c>
      <c r="E32" s="6" t="s">
        <v>21</v>
      </c>
      <c r="F32" s="6" t="s">
        <v>30</v>
      </c>
      <c r="G32" s="6">
        <v>5</v>
      </c>
      <c r="H32" s="6">
        <v>1</v>
      </c>
      <c r="I32" s="6">
        <v>14.93</v>
      </c>
      <c r="J32" s="6">
        <v>7.76</v>
      </c>
      <c r="K32" s="17">
        <v>0.77</v>
      </c>
      <c r="L32" s="6" t="s">
        <v>25</v>
      </c>
      <c r="M32" s="8"/>
      <c r="N32" s="9"/>
      <c r="O32" s="10"/>
    </row>
    <row r="33" spans="1:15" x14ac:dyDescent="0.45">
      <c r="A33" s="33" t="s">
        <v>47</v>
      </c>
      <c r="B33" s="32">
        <v>46252</v>
      </c>
      <c r="C33" s="6" t="s">
        <v>19</v>
      </c>
      <c r="D33" s="6" t="s">
        <v>20</v>
      </c>
      <c r="E33" s="6" t="s">
        <v>21</v>
      </c>
      <c r="F33" s="6" t="s">
        <v>30</v>
      </c>
      <c r="G33" s="6">
        <v>5</v>
      </c>
      <c r="H33" s="6">
        <v>2</v>
      </c>
      <c r="I33" s="6">
        <v>14.73</v>
      </c>
      <c r="J33" s="6">
        <v>7.69</v>
      </c>
      <c r="K33" s="17">
        <v>0.77</v>
      </c>
      <c r="L33" s="6" t="s">
        <v>25</v>
      </c>
      <c r="M33" s="8"/>
      <c r="N33" s="9"/>
      <c r="O33" s="10"/>
    </row>
    <row r="34" spans="1:15" x14ac:dyDescent="0.45">
      <c r="A34" s="33" t="s">
        <v>48</v>
      </c>
      <c r="B34" s="32">
        <v>46252</v>
      </c>
      <c r="C34" s="6" t="s">
        <v>19</v>
      </c>
      <c r="D34" s="6" t="s">
        <v>20</v>
      </c>
      <c r="E34" s="6" t="s">
        <v>21</v>
      </c>
      <c r="F34" s="6" t="s">
        <v>30</v>
      </c>
      <c r="G34" s="6">
        <v>6</v>
      </c>
      <c r="H34" s="6">
        <v>0</v>
      </c>
      <c r="I34" s="6">
        <v>13.5</v>
      </c>
      <c r="J34" s="6">
        <v>7.32</v>
      </c>
      <c r="K34" s="17">
        <v>0.69</v>
      </c>
      <c r="L34" s="6" t="s">
        <v>25</v>
      </c>
      <c r="M34" s="8"/>
      <c r="N34" s="9"/>
      <c r="O34" s="10"/>
    </row>
    <row r="35" spans="1:15" x14ac:dyDescent="0.45">
      <c r="A35" s="33" t="s">
        <v>48</v>
      </c>
      <c r="B35" s="32">
        <v>46252</v>
      </c>
      <c r="C35" s="6" t="s">
        <v>19</v>
      </c>
      <c r="D35" s="6" t="s">
        <v>20</v>
      </c>
      <c r="E35" s="6" t="s">
        <v>21</v>
      </c>
      <c r="F35" s="6" t="s">
        <v>30</v>
      </c>
      <c r="G35" s="6">
        <v>6</v>
      </c>
      <c r="H35" s="6">
        <v>1</v>
      </c>
      <c r="I35" s="6">
        <v>13.3</v>
      </c>
      <c r="J35" s="6">
        <v>7.73</v>
      </c>
      <c r="K35" s="17">
        <v>0.69</v>
      </c>
      <c r="L35" s="6" t="s">
        <v>25</v>
      </c>
      <c r="M35" s="8"/>
      <c r="N35" s="9"/>
      <c r="O35" s="10"/>
    </row>
    <row r="36" spans="1:15" x14ac:dyDescent="0.45">
      <c r="A36" s="33" t="s">
        <v>48</v>
      </c>
      <c r="B36" s="32">
        <v>46252</v>
      </c>
      <c r="C36" s="6" t="s">
        <v>19</v>
      </c>
      <c r="D36" s="6" t="s">
        <v>20</v>
      </c>
      <c r="E36" s="6" t="s">
        <v>21</v>
      </c>
      <c r="F36" s="6" t="s">
        <v>30</v>
      </c>
      <c r="G36" s="6">
        <v>6</v>
      </c>
      <c r="H36" s="6">
        <v>2</v>
      </c>
      <c r="I36" s="6">
        <v>12.8</v>
      </c>
      <c r="J36" s="6">
        <v>7.76</v>
      </c>
      <c r="K36" s="17">
        <v>0.69</v>
      </c>
      <c r="L36" s="6" t="s">
        <v>25</v>
      </c>
      <c r="M36" s="8"/>
      <c r="N36" s="9"/>
      <c r="O36" s="10"/>
    </row>
    <row r="37" spans="1:15" x14ac:dyDescent="0.4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18"/>
      <c r="N37" s="19"/>
      <c r="O37" s="2"/>
    </row>
    <row r="38" spans="1:15" x14ac:dyDescent="0.45">
      <c r="A38" s="35" t="s">
        <v>51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8"/>
      <c r="N38" s="19"/>
      <c r="O38" s="2"/>
    </row>
    <row r="39" spans="1:15" x14ac:dyDescent="0.45">
      <c r="A39" s="33" t="s">
        <v>49</v>
      </c>
      <c r="B39" s="6" t="s">
        <v>18</v>
      </c>
      <c r="C39" s="6" t="s">
        <v>19</v>
      </c>
      <c r="D39" s="6" t="s">
        <v>20</v>
      </c>
      <c r="E39" s="6" t="s">
        <v>27</v>
      </c>
      <c r="F39" s="6" t="s">
        <v>30</v>
      </c>
      <c r="G39" s="6">
        <v>2</v>
      </c>
      <c r="H39" s="6">
        <v>0</v>
      </c>
      <c r="I39" s="6">
        <v>3.33</v>
      </c>
      <c r="J39" s="6">
        <v>3</v>
      </c>
      <c r="K39" s="17">
        <v>0.91</v>
      </c>
      <c r="L39" s="34" t="s">
        <v>25</v>
      </c>
      <c r="M39" s="8"/>
      <c r="N39" s="9"/>
      <c r="O39" s="10"/>
    </row>
    <row r="40" spans="1:15" x14ac:dyDescent="0.45">
      <c r="A40" s="33" t="s">
        <v>49</v>
      </c>
      <c r="B40" s="6" t="s">
        <v>18</v>
      </c>
      <c r="C40" s="6" t="s">
        <v>19</v>
      </c>
      <c r="D40" s="6" t="s">
        <v>20</v>
      </c>
      <c r="E40" s="6" t="s">
        <v>27</v>
      </c>
      <c r="F40" s="6" t="s">
        <v>30</v>
      </c>
      <c r="G40" s="6">
        <v>2</v>
      </c>
      <c r="H40" s="6">
        <v>1</v>
      </c>
      <c r="I40" s="6">
        <v>3.27</v>
      </c>
      <c r="J40" s="6">
        <v>3</v>
      </c>
      <c r="K40" s="17">
        <v>0.91</v>
      </c>
      <c r="L40" s="34" t="s">
        <v>25</v>
      </c>
      <c r="M40" s="8"/>
      <c r="N40" s="9"/>
      <c r="O40" s="10"/>
    </row>
    <row r="41" spans="1:15" x14ac:dyDescent="0.45">
      <c r="A41" s="33" t="s">
        <v>49</v>
      </c>
      <c r="B41" s="6" t="s">
        <v>18</v>
      </c>
      <c r="C41" s="6" t="s">
        <v>19</v>
      </c>
      <c r="D41" s="6" t="s">
        <v>20</v>
      </c>
      <c r="E41" s="6" t="s">
        <v>27</v>
      </c>
      <c r="F41" s="6" t="s">
        <v>30</v>
      </c>
      <c r="G41" s="6">
        <v>2</v>
      </c>
      <c r="H41" s="6">
        <v>2</v>
      </c>
      <c r="I41" s="6">
        <v>3.28</v>
      </c>
      <c r="J41" s="6">
        <v>2.91</v>
      </c>
      <c r="K41" s="17">
        <v>0.91</v>
      </c>
      <c r="L41" s="34" t="s">
        <v>25</v>
      </c>
      <c r="M41" s="8"/>
      <c r="N41" s="9"/>
      <c r="O41" s="10"/>
    </row>
    <row r="42" spans="1:15" x14ac:dyDescent="0.45">
      <c r="A42" s="33" t="s">
        <v>50</v>
      </c>
      <c r="B42" s="6" t="s">
        <v>18</v>
      </c>
      <c r="C42" s="6" t="s">
        <v>19</v>
      </c>
      <c r="D42" s="6" t="s">
        <v>20</v>
      </c>
      <c r="E42" s="6" t="s">
        <v>27</v>
      </c>
      <c r="F42" s="6" t="s">
        <v>30</v>
      </c>
      <c r="G42" s="6">
        <v>3</v>
      </c>
      <c r="H42" s="6">
        <v>0</v>
      </c>
      <c r="I42" s="6">
        <v>3.88</v>
      </c>
      <c r="J42" s="6">
        <v>3</v>
      </c>
      <c r="K42" s="17">
        <v>0.84</v>
      </c>
      <c r="L42" s="34" t="s">
        <v>25</v>
      </c>
      <c r="M42" s="8"/>
      <c r="N42" s="9"/>
      <c r="O42" s="10"/>
    </row>
    <row r="43" spans="1:15" x14ac:dyDescent="0.45">
      <c r="A43" s="33" t="s">
        <v>50</v>
      </c>
      <c r="B43" s="6" t="s">
        <v>18</v>
      </c>
      <c r="C43" s="6" t="s">
        <v>19</v>
      </c>
      <c r="D43" s="6" t="s">
        <v>20</v>
      </c>
      <c r="E43" s="6" t="s">
        <v>27</v>
      </c>
      <c r="F43" s="6" t="s">
        <v>30</v>
      </c>
      <c r="G43" s="6">
        <v>3</v>
      </c>
      <c r="H43" s="6">
        <v>1</v>
      </c>
      <c r="I43" s="6">
        <v>3.76</v>
      </c>
      <c r="J43" s="6">
        <v>3</v>
      </c>
      <c r="K43" s="17">
        <v>0.84</v>
      </c>
      <c r="L43" s="34" t="s">
        <v>25</v>
      </c>
      <c r="M43" s="8"/>
      <c r="N43" s="9"/>
      <c r="O43" s="10"/>
    </row>
    <row r="44" spans="1:15" x14ac:dyDescent="0.45">
      <c r="A44" s="33" t="s">
        <v>50</v>
      </c>
      <c r="B44" s="6" t="s">
        <v>18</v>
      </c>
      <c r="C44" s="6" t="s">
        <v>19</v>
      </c>
      <c r="D44" s="6" t="s">
        <v>20</v>
      </c>
      <c r="E44" s="6" t="s">
        <v>27</v>
      </c>
      <c r="F44" s="6" t="s">
        <v>30</v>
      </c>
      <c r="G44" s="6">
        <v>3</v>
      </c>
      <c r="H44" s="6">
        <v>2</v>
      </c>
      <c r="I44" s="6">
        <v>3.8</v>
      </c>
      <c r="J44" s="6">
        <v>2.95</v>
      </c>
      <c r="K44" s="17">
        <v>0.84</v>
      </c>
      <c r="L44" s="34" t="s">
        <v>25</v>
      </c>
      <c r="M44" s="8"/>
      <c r="N44" s="9"/>
      <c r="O44" s="10"/>
    </row>
    <row r="45" spans="1:15" x14ac:dyDescent="0.45">
      <c r="A45" s="33" t="s">
        <v>52</v>
      </c>
      <c r="B45" s="6" t="s">
        <v>18</v>
      </c>
      <c r="C45" s="6" t="s">
        <v>19</v>
      </c>
      <c r="D45" s="6" t="s">
        <v>20</v>
      </c>
      <c r="E45" s="6" t="s">
        <v>27</v>
      </c>
      <c r="F45" s="6" t="s">
        <v>30</v>
      </c>
      <c r="G45" s="6">
        <v>4</v>
      </c>
      <c r="H45" s="6">
        <v>0</v>
      </c>
      <c r="I45" s="6">
        <v>4.3600000000000003</v>
      </c>
      <c r="J45" s="6">
        <v>2.97</v>
      </c>
      <c r="K45" s="17">
        <v>0.79</v>
      </c>
      <c r="L45" s="34" t="s">
        <v>25</v>
      </c>
      <c r="M45" s="8"/>
      <c r="N45" s="9"/>
      <c r="O45" s="10"/>
    </row>
    <row r="46" spans="1:15" x14ac:dyDescent="0.45">
      <c r="A46" s="33" t="s">
        <v>52</v>
      </c>
      <c r="B46" s="6" t="s">
        <v>18</v>
      </c>
      <c r="C46" s="6" t="s">
        <v>19</v>
      </c>
      <c r="D46" s="6" t="s">
        <v>20</v>
      </c>
      <c r="E46" s="6" t="s">
        <v>27</v>
      </c>
      <c r="F46" s="6" t="s">
        <v>30</v>
      </c>
      <c r="G46" s="6">
        <v>4</v>
      </c>
      <c r="H46" s="6">
        <v>1</v>
      </c>
      <c r="I46" s="6">
        <v>4.37</v>
      </c>
      <c r="J46" s="6">
        <v>3.01</v>
      </c>
      <c r="K46" s="17">
        <v>0.79</v>
      </c>
      <c r="L46" s="34" t="s">
        <v>25</v>
      </c>
      <c r="M46" s="8"/>
      <c r="N46" s="9"/>
      <c r="O46" s="10"/>
    </row>
    <row r="47" spans="1:15" x14ac:dyDescent="0.45">
      <c r="A47" s="33" t="s">
        <v>52</v>
      </c>
      <c r="B47" s="6" t="s">
        <v>18</v>
      </c>
      <c r="C47" s="6" t="s">
        <v>19</v>
      </c>
      <c r="D47" s="6" t="s">
        <v>20</v>
      </c>
      <c r="E47" s="6" t="s">
        <v>27</v>
      </c>
      <c r="F47" s="6" t="s">
        <v>30</v>
      </c>
      <c r="G47" s="6">
        <v>4</v>
      </c>
      <c r="H47" s="6">
        <v>2</v>
      </c>
      <c r="I47" s="6">
        <v>4.33</v>
      </c>
      <c r="J47" s="6">
        <v>2.85</v>
      </c>
      <c r="K47" s="17">
        <v>0.79</v>
      </c>
      <c r="L47" s="34" t="s">
        <v>25</v>
      </c>
      <c r="M47" s="8"/>
      <c r="N47" s="9"/>
      <c r="O47" s="10"/>
    </row>
    <row r="48" spans="1:15" x14ac:dyDescent="0.45">
      <c r="A48" s="33" t="s">
        <v>53</v>
      </c>
      <c r="B48" s="6" t="s">
        <v>18</v>
      </c>
      <c r="C48" s="6" t="s">
        <v>19</v>
      </c>
      <c r="D48" s="6" t="s">
        <v>20</v>
      </c>
      <c r="E48" s="6" t="s">
        <v>27</v>
      </c>
      <c r="F48" s="6" t="s">
        <v>30</v>
      </c>
      <c r="G48" s="6">
        <v>5</v>
      </c>
      <c r="H48" s="6">
        <v>0</v>
      </c>
      <c r="I48" s="6">
        <v>4.87</v>
      </c>
      <c r="J48" s="6">
        <v>2.97</v>
      </c>
      <c r="K48" s="17">
        <v>0.77</v>
      </c>
      <c r="L48" s="34" t="s">
        <v>25</v>
      </c>
      <c r="M48" s="8"/>
      <c r="N48" s="9"/>
      <c r="O48" s="10"/>
    </row>
    <row r="49" spans="1:15" x14ac:dyDescent="0.45">
      <c r="A49" s="33" t="s">
        <v>53</v>
      </c>
      <c r="B49" s="6" t="s">
        <v>18</v>
      </c>
      <c r="C49" s="6" t="s">
        <v>19</v>
      </c>
      <c r="D49" s="6" t="s">
        <v>20</v>
      </c>
      <c r="E49" s="6" t="s">
        <v>27</v>
      </c>
      <c r="F49" s="6" t="s">
        <v>30</v>
      </c>
      <c r="G49" s="6">
        <v>5</v>
      </c>
      <c r="H49" s="6">
        <v>1</v>
      </c>
      <c r="I49" s="6">
        <v>4.83</v>
      </c>
      <c r="J49" s="6">
        <v>3</v>
      </c>
      <c r="K49" s="17">
        <v>0.77</v>
      </c>
      <c r="L49" s="34" t="s">
        <v>25</v>
      </c>
      <c r="M49" s="8"/>
      <c r="N49" s="9"/>
      <c r="O49" s="10"/>
    </row>
    <row r="50" spans="1:15" x14ac:dyDescent="0.45">
      <c r="A50" s="33" t="s">
        <v>53</v>
      </c>
      <c r="B50" s="6" t="s">
        <v>18</v>
      </c>
      <c r="C50" s="6" t="s">
        <v>19</v>
      </c>
      <c r="D50" s="6" t="s">
        <v>20</v>
      </c>
      <c r="E50" s="6" t="s">
        <v>27</v>
      </c>
      <c r="F50" s="6" t="s">
        <v>30</v>
      </c>
      <c r="G50" s="6">
        <v>5</v>
      </c>
      <c r="H50" s="6">
        <v>2</v>
      </c>
      <c r="I50" s="6">
        <v>4.7699999999999996</v>
      </c>
      <c r="J50" s="6">
        <v>2.83</v>
      </c>
      <c r="K50" s="17">
        <v>0.77</v>
      </c>
      <c r="L50" s="34" t="s">
        <v>25</v>
      </c>
      <c r="M50" s="8"/>
      <c r="N50" s="9"/>
      <c r="O50" s="10"/>
    </row>
    <row r="51" spans="1:15" x14ac:dyDescent="0.45">
      <c r="A51" s="33" t="s">
        <v>54</v>
      </c>
      <c r="B51" s="6" t="s">
        <v>18</v>
      </c>
      <c r="C51" s="6" t="s">
        <v>19</v>
      </c>
      <c r="D51" s="6" t="s">
        <v>20</v>
      </c>
      <c r="E51" s="6" t="s">
        <v>27</v>
      </c>
      <c r="F51" s="6" t="s">
        <v>30</v>
      </c>
      <c r="G51" s="6">
        <v>6</v>
      </c>
      <c r="H51" s="6">
        <v>0</v>
      </c>
      <c r="I51" s="6">
        <v>4.91</v>
      </c>
      <c r="J51" s="6">
        <v>2.99</v>
      </c>
      <c r="K51" s="17">
        <v>0.69</v>
      </c>
      <c r="L51" s="34" t="s">
        <v>25</v>
      </c>
      <c r="M51" s="8"/>
      <c r="N51" s="9"/>
      <c r="O51" s="10"/>
    </row>
    <row r="52" spans="1:15" x14ac:dyDescent="0.45">
      <c r="A52" s="33" t="s">
        <v>54</v>
      </c>
      <c r="B52" s="6" t="s">
        <v>18</v>
      </c>
      <c r="C52" s="6" t="s">
        <v>19</v>
      </c>
      <c r="D52" s="6" t="s">
        <v>20</v>
      </c>
      <c r="E52" s="6" t="s">
        <v>27</v>
      </c>
      <c r="F52" s="6" t="s">
        <v>30</v>
      </c>
      <c r="G52" s="6">
        <v>6</v>
      </c>
      <c r="H52" s="6">
        <v>1</v>
      </c>
      <c r="I52" s="6">
        <v>4.96</v>
      </c>
      <c r="J52" s="6">
        <v>2.99</v>
      </c>
      <c r="K52" s="17">
        <v>0.69</v>
      </c>
      <c r="L52" s="34" t="s">
        <v>25</v>
      </c>
      <c r="M52" s="8"/>
      <c r="N52" s="9"/>
      <c r="O52" s="10"/>
    </row>
    <row r="53" spans="1:15" x14ac:dyDescent="0.45">
      <c r="A53" s="33" t="s">
        <v>54</v>
      </c>
      <c r="B53" s="6" t="s">
        <v>18</v>
      </c>
      <c r="C53" s="6" t="s">
        <v>19</v>
      </c>
      <c r="D53" s="6" t="s">
        <v>20</v>
      </c>
      <c r="E53" s="6" t="s">
        <v>27</v>
      </c>
      <c r="F53" s="6" t="s">
        <v>30</v>
      </c>
      <c r="G53" s="6">
        <v>6</v>
      </c>
      <c r="H53" s="6">
        <v>2</v>
      </c>
      <c r="I53" s="6">
        <v>4.84</v>
      </c>
      <c r="J53" s="6">
        <v>3</v>
      </c>
      <c r="K53" s="17">
        <v>0.69</v>
      </c>
      <c r="L53" s="34" t="s">
        <v>25</v>
      </c>
      <c r="M53" s="8"/>
      <c r="N53" s="9"/>
      <c r="O53" s="10"/>
    </row>
    <row r="54" spans="1:15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8" t="str">
        <f>IF(I54="","",I54*#REF!)</f>
        <v/>
      </c>
      <c r="N54" s="19" t="str">
        <f>IF(I54="","",M54/#REF!)</f>
        <v/>
      </c>
      <c r="O54" s="2"/>
    </row>
    <row r="55" spans="1:15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8" t="str">
        <f>IF(I55="","",I55*#REF!)</f>
        <v/>
      </c>
      <c r="N55" s="19" t="str">
        <f>IF(I55="","",M55/#REF!)</f>
        <v/>
      </c>
      <c r="O55" s="2"/>
    </row>
    <row r="56" spans="1:15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8" t="str">
        <f>IF(I56="","",I56*#REF!)</f>
        <v/>
      </c>
      <c r="N56" s="19" t="str">
        <f>IF(I56="","",M56/#REF!)</f>
        <v/>
      </c>
      <c r="O56" s="2"/>
    </row>
    <row r="57" spans="1:15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8" t="str">
        <f>IF(I57="","",I57*#REF!)</f>
        <v/>
      </c>
      <c r="N57" s="19" t="str">
        <f>IF(I57="","",M57/#REF!)</f>
        <v/>
      </c>
      <c r="O57" s="2"/>
    </row>
    <row r="58" spans="1:15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8" t="str">
        <f>IF(I58="","",I58*#REF!)</f>
        <v/>
      </c>
      <c r="N58" s="19" t="str">
        <f>IF(I58="","",M58/#REF!)</f>
        <v/>
      </c>
      <c r="O58" s="2"/>
    </row>
    <row r="59" spans="1:15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8" t="str">
        <f>IF(I59="","",I59*#REF!)</f>
        <v/>
      </c>
      <c r="N59" s="19" t="str">
        <f>IF(I59="","",M59/#REF!)</f>
        <v/>
      </c>
      <c r="O59" s="2"/>
    </row>
    <row r="60" spans="1:15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8" t="str">
        <f>IF(I60="","",I60*#REF!)</f>
        <v/>
      </c>
      <c r="N60" s="19" t="str">
        <f>IF(I60="","",M60/#REF!)</f>
        <v/>
      </c>
      <c r="O60" s="2"/>
    </row>
    <row r="61" spans="1:15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8" t="str">
        <f>IF(I61="","",I61*#REF!)</f>
        <v/>
      </c>
      <c r="N61" s="19" t="str">
        <f>IF(I61="","",M61/#REF!)</f>
        <v/>
      </c>
      <c r="O61" s="2"/>
    </row>
    <row r="62" spans="1:15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8" t="str">
        <f>IF(I62="","",I62*#REF!)</f>
        <v/>
      </c>
      <c r="N62" s="19" t="str">
        <f>IF(I62="","",M62/#REF!)</f>
        <v/>
      </c>
      <c r="O62" s="2"/>
    </row>
    <row r="63" spans="1:15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8" t="str">
        <f>IF(I63="","",I63*#REF!)</f>
        <v/>
      </c>
      <c r="N63" s="19" t="str">
        <f>IF(I63="","",M63/#REF!)</f>
        <v/>
      </c>
      <c r="O63" s="2"/>
    </row>
    <row r="64" spans="1:15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8" t="str">
        <f>IF(I64="","",I64*#REF!)</f>
        <v/>
      </c>
      <c r="N64" s="19" t="str">
        <f>IF(I64="","",M64/#REF!)</f>
        <v/>
      </c>
      <c r="O64" s="2"/>
    </row>
    <row r="65" spans="1:15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8" t="str">
        <f>IF(I65="","",I65*#REF!)</f>
        <v/>
      </c>
      <c r="N65" s="19" t="str">
        <f>IF(I65="","",M65/#REF!)</f>
        <v/>
      </c>
      <c r="O65" s="2"/>
    </row>
    <row r="66" spans="1:15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8" t="str">
        <f>IF(I66="","",I66*#REF!)</f>
        <v/>
      </c>
      <c r="N66" s="19" t="str">
        <f>IF(I66="","",M66/#REF!)</f>
        <v/>
      </c>
      <c r="O66" s="2"/>
    </row>
    <row r="67" spans="1:15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8" t="str">
        <f>IF(I67="","",I67*#REF!)</f>
        <v/>
      </c>
      <c r="N67" s="19" t="str">
        <f>IF(I67="","",M67/#REF!)</f>
        <v/>
      </c>
      <c r="O67" s="2"/>
    </row>
    <row r="68" spans="1:15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8" t="str">
        <f>IF(I68="","",I68*#REF!)</f>
        <v/>
      </c>
      <c r="N68" s="19" t="str">
        <f>IF(I68="","",M68/#REF!)</f>
        <v/>
      </c>
      <c r="O68" s="2"/>
    </row>
    <row r="69" spans="1:15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8" t="str">
        <f>IF(I69="","",I69*#REF!)</f>
        <v/>
      </c>
      <c r="N69" s="19" t="str">
        <f>IF(I69="","",M69/#REF!)</f>
        <v/>
      </c>
      <c r="O69" s="2"/>
    </row>
    <row r="70" spans="1:15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8" t="str">
        <f>IF(I70="","",I70*#REF!)</f>
        <v/>
      </c>
      <c r="N70" s="19" t="str">
        <f>IF(I70="","",M70/#REF!)</f>
        <v/>
      </c>
      <c r="O70" s="2"/>
    </row>
    <row r="71" spans="1:15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8" t="str">
        <f>IF(I71="","",I71*#REF!)</f>
        <v/>
      </c>
      <c r="N71" s="19" t="str">
        <f>IF(I71="","",M71/#REF!)</f>
        <v/>
      </c>
      <c r="O71" s="2"/>
    </row>
    <row r="72" spans="1:15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8" t="str">
        <f>IF(I72="","",I72*#REF!)</f>
        <v/>
      </c>
      <c r="N72" s="19" t="str">
        <f>IF(I72="","",M72/#REF!)</f>
        <v/>
      </c>
      <c r="O72" s="2"/>
    </row>
    <row r="73" spans="1:15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8" t="str">
        <f>IF(I73="","",I73*#REF!)</f>
        <v/>
      </c>
      <c r="N73" s="19" t="str">
        <f>IF(I73="","",M73/#REF!)</f>
        <v/>
      </c>
      <c r="O73" s="2"/>
    </row>
    <row r="74" spans="1:15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8" t="str">
        <f>IF(I74="","",I74*#REF!)</f>
        <v/>
      </c>
      <c r="N74" s="19" t="str">
        <f>IF(I74="","",M74/#REF!)</f>
        <v/>
      </c>
      <c r="O74" s="2"/>
    </row>
    <row r="75" spans="1:15" x14ac:dyDescent="0.45">
      <c r="A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8" t="str">
        <f>IF(I75="","",I75*#REF!)</f>
        <v/>
      </c>
      <c r="N75" s="19" t="str">
        <f>IF(I75="","",M75/#REF!)</f>
        <v/>
      </c>
      <c r="O75" s="2"/>
    </row>
    <row r="76" spans="1:15" x14ac:dyDescent="0.45">
      <c r="A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8" t="str">
        <f>IF(I76="","",I76*#REF!)</f>
        <v/>
      </c>
      <c r="N76" s="19" t="str">
        <f>IF(I76="","",M76/#REF!)</f>
        <v/>
      </c>
      <c r="O76" s="2"/>
    </row>
    <row r="77" spans="1:15" x14ac:dyDescent="0.45">
      <c r="A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8" t="str">
        <f>IF(I77="","",I77*#REF!)</f>
        <v/>
      </c>
      <c r="N77" s="19" t="str">
        <f>IF(I77="","",M77/#REF!)</f>
        <v/>
      </c>
      <c r="O77" s="2"/>
    </row>
  </sheetData>
  <phoneticPr fontId="8" type="noConversion"/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ED1CC-C511-4F7C-A20B-9A5572643CCE}">
  <dimension ref="A1:O46"/>
  <sheetViews>
    <sheetView tabSelected="1" zoomScaleNormal="100" workbookViewId="0">
      <pane ySplit="1" topLeftCell="A2" activePane="bottomLeft" state="frozen"/>
      <selection pane="bottomLeft" activeCell="K14" sqref="K14"/>
    </sheetView>
  </sheetViews>
  <sheetFormatPr defaultColWidth="8.6640625" defaultRowHeight="14.25" x14ac:dyDescent="0.45"/>
  <cols>
    <col min="1" max="1" width="14" customWidth="1"/>
    <col min="2" max="2" width="11" customWidth="1"/>
    <col min="3" max="4" width="14" customWidth="1"/>
    <col min="5" max="5" width="9" customWidth="1"/>
    <col min="6" max="6" width="7" customWidth="1"/>
    <col min="7" max="7" width="8" customWidth="1"/>
    <col min="8" max="8" width="7" customWidth="1"/>
    <col min="9" max="10" width="11" customWidth="1"/>
    <col min="11" max="11" width="12" customWidth="1"/>
    <col min="12" max="12" width="9" customWidth="1"/>
    <col min="13" max="13" width="14" customWidth="1"/>
    <col min="14" max="14" width="11" customWidth="1"/>
    <col min="15" max="15" width="42" customWidth="1"/>
  </cols>
  <sheetData>
    <row r="1" spans="1:15" ht="16.899999999999999" x14ac:dyDescent="0.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6.899999999999999" x14ac:dyDescent="0.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45">
      <c r="A3" s="2" t="s">
        <v>34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8" t="str">
        <f>IF(I3="","",I3*#REF!)</f>
        <v/>
      </c>
      <c r="N3" s="19" t="str">
        <f>IF(I3="","",M3/#REF!)</f>
        <v/>
      </c>
      <c r="O3" s="2"/>
    </row>
    <row r="4" spans="1:15" ht="26.65" x14ac:dyDescent="0.4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33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spans="1:15" x14ac:dyDescent="0.45">
      <c r="A5" s="26" t="s">
        <v>29</v>
      </c>
      <c r="B5" s="27" t="s">
        <v>18</v>
      </c>
      <c r="C5" s="27" t="s">
        <v>35</v>
      </c>
      <c r="D5" s="27" t="s">
        <v>31</v>
      </c>
      <c r="E5" s="27" t="s">
        <v>27</v>
      </c>
      <c r="F5" s="27" t="s">
        <v>22</v>
      </c>
      <c r="G5" s="27" t="s">
        <v>32</v>
      </c>
      <c r="H5" s="27">
        <v>1</v>
      </c>
      <c r="I5" s="27">
        <v>25.82</v>
      </c>
      <c r="J5" s="27">
        <v>412.75</v>
      </c>
      <c r="K5" s="28"/>
      <c r="L5" s="27" t="s">
        <v>23</v>
      </c>
      <c r="M5" s="29"/>
      <c r="N5" s="30"/>
      <c r="O5" s="31"/>
    </row>
    <row r="6" spans="1:15" x14ac:dyDescent="0.45">
      <c r="A6" s="26" t="s">
        <v>29</v>
      </c>
      <c r="B6" s="27" t="s">
        <v>18</v>
      </c>
      <c r="C6" s="27" t="s">
        <v>35</v>
      </c>
      <c r="D6" s="27" t="s">
        <v>31</v>
      </c>
      <c r="E6" s="27" t="s">
        <v>27</v>
      </c>
      <c r="F6" s="27" t="s">
        <v>22</v>
      </c>
      <c r="G6" s="27" t="s">
        <v>32</v>
      </c>
      <c r="H6" s="27">
        <v>3</v>
      </c>
      <c r="I6" s="27">
        <v>28.04</v>
      </c>
      <c r="J6" s="27">
        <v>434.98</v>
      </c>
      <c r="K6" s="28"/>
      <c r="L6" s="27" t="s">
        <v>23</v>
      </c>
      <c r="M6" s="29"/>
      <c r="N6" s="30"/>
      <c r="O6" s="31"/>
    </row>
    <row r="7" spans="1:15" x14ac:dyDescent="0.45">
      <c r="A7" s="26" t="s">
        <v>29</v>
      </c>
      <c r="B7" s="27" t="s">
        <v>18</v>
      </c>
      <c r="C7" s="27" t="s">
        <v>35</v>
      </c>
      <c r="D7" s="27" t="s">
        <v>31</v>
      </c>
      <c r="E7" s="27" t="s">
        <v>27</v>
      </c>
      <c r="F7" s="27" t="s">
        <v>22</v>
      </c>
      <c r="G7" s="27" t="s">
        <v>32</v>
      </c>
      <c r="H7" s="27">
        <v>1</v>
      </c>
      <c r="I7" s="27">
        <v>28.39</v>
      </c>
      <c r="J7" s="27">
        <v>463.09</v>
      </c>
      <c r="K7" s="28"/>
      <c r="L7" s="27" t="s">
        <v>23</v>
      </c>
      <c r="M7" s="29"/>
      <c r="N7" s="30"/>
      <c r="O7" s="31"/>
    </row>
    <row r="8" spans="1:15" x14ac:dyDescent="0.45">
      <c r="A8" s="26" t="s">
        <v>29</v>
      </c>
      <c r="B8" s="27" t="s">
        <v>18</v>
      </c>
      <c r="C8" s="27" t="s">
        <v>35</v>
      </c>
      <c r="D8" s="27" t="s">
        <v>31</v>
      </c>
      <c r="E8" s="27" t="s">
        <v>27</v>
      </c>
      <c r="F8" s="27" t="s">
        <v>22</v>
      </c>
      <c r="G8" s="27" t="s">
        <v>32</v>
      </c>
      <c r="H8" s="27">
        <v>3</v>
      </c>
      <c r="I8" s="27">
        <v>28.48</v>
      </c>
      <c r="J8" s="27">
        <v>464.54</v>
      </c>
      <c r="K8" s="28"/>
      <c r="L8" s="27" t="s">
        <v>23</v>
      </c>
      <c r="M8" s="29"/>
      <c r="N8" s="30"/>
      <c r="O8" s="31"/>
    </row>
    <row r="9" spans="1:15" x14ac:dyDescent="0.4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18" t="str">
        <f>IF(I9="","",I9*#REF!)</f>
        <v/>
      </c>
      <c r="N9" s="19" t="str">
        <f>IF(I9="","",M9/#REF!)</f>
        <v/>
      </c>
      <c r="O9" s="2"/>
    </row>
    <row r="10" spans="1:15" x14ac:dyDescent="0.4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18" t="str">
        <f>IF(I10="","",I10*#REF!)</f>
        <v/>
      </c>
      <c r="N10" s="19" t="str">
        <f>IF(I10="","",M10/#REF!)</f>
        <v/>
      </c>
      <c r="O10" s="2"/>
    </row>
    <row r="11" spans="1:15" x14ac:dyDescent="0.4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18" t="str">
        <f>IF(I11="","",I11*#REF!)</f>
        <v/>
      </c>
      <c r="N11" s="19" t="str">
        <f>IF(I11="","",M11/#REF!)</f>
        <v/>
      </c>
      <c r="O11" s="2"/>
    </row>
    <row r="12" spans="1:15" x14ac:dyDescent="0.4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18" t="str">
        <f>IF(I12="","",I12*#REF!)</f>
        <v/>
      </c>
      <c r="N12" s="19" t="str">
        <f>IF(I12="","",M12/#REF!)</f>
        <v/>
      </c>
      <c r="O12" s="2"/>
    </row>
    <row r="13" spans="1:15" x14ac:dyDescent="0.4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18" t="str">
        <f>IF(I13="","",I13*#REF!)</f>
        <v/>
      </c>
      <c r="N13" s="19" t="str">
        <f>IF(I13="","",M13/#REF!)</f>
        <v/>
      </c>
      <c r="O13" s="2"/>
    </row>
    <row r="14" spans="1:15" x14ac:dyDescent="0.4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18" t="str">
        <f>IF(I14="","",I14*#REF!)</f>
        <v/>
      </c>
      <c r="N14" s="19" t="str">
        <f>IF(I14="","",M14/#REF!)</f>
        <v/>
      </c>
      <c r="O14" s="2"/>
    </row>
    <row r="15" spans="1:15" x14ac:dyDescent="0.4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8" t="str">
        <f>IF(I15="","",I15*#REF!)</f>
        <v/>
      </c>
      <c r="N15" s="19" t="str">
        <f>IF(I15="","",M15/#REF!)</f>
        <v/>
      </c>
      <c r="O15" s="2"/>
    </row>
    <row r="16" spans="1:15" x14ac:dyDescent="0.4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18" t="str">
        <f>IF(I16="","",I16*#REF!)</f>
        <v/>
      </c>
      <c r="N16" s="19" t="str">
        <f>IF(I16="","",M16/#REF!)</f>
        <v/>
      </c>
      <c r="O16" s="2"/>
    </row>
    <row r="17" spans="1:15" x14ac:dyDescent="0.4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18" t="str">
        <f>IF(I17="","",I17*#REF!)</f>
        <v/>
      </c>
      <c r="N17" s="19" t="str">
        <f>IF(I17="","",M17/#REF!)</f>
        <v/>
      </c>
      <c r="O17" s="2"/>
    </row>
    <row r="18" spans="1:15" x14ac:dyDescent="0.4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18" t="str">
        <f>IF(I18="","",I18*#REF!)</f>
        <v/>
      </c>
      <c r="N18" s="19" t="str">
        <f>IF(I18="","",M18/#REF!)</f>
        <v/>
      </c>
      <c r="O18" s="2"/>
    </row>
    <row r="19" spans="1:15" x14ac:dyDescent="0.4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18" t="str">
        <f>IF(I19="","",I19*#REF!)</f>
        <v/>
      </c>
      <c r="N19" s="19" t="str">
        <f>IF(I19="","",M19/#REF!)</f>
        <v/>
      </c>
      <c r="O19" s="2"/>
    </row>
    <row r="20" spans="1:15" x14ac:dyDescent="0.4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18" t="str">
        <f>IF(I20="","",I20*#REF!)</f>
        <v/>
      </c>
      <c r="N20" s="19" t="str">
        <f>IF(I20="","",M20/#REF!)</f>
        <v/>
      </c>
      <c r="O20" s="2"/>
    </row>
    <row r="21" spans="1:15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18" t="str">
        <f>IF(I21="","",I21*#REF!)</f>
        <v/>
      </c>
      <c r="N21" s="19" t="str">
        <f>IF(I21="","",M21/#REF!)</f>
        <v/>
      </c>
      <c r="O21" s="2"/>
    </row>
    <row r="22" spans="1:15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18" t="str">
        <f>IF(I22="","",I22*#REF!)</f>
        <v/>
      </c>
      <c r="N22" s="19" t="str">
        <f>IF(I22="","",M22/#REF!)</f>
        <v/>
      </c>
      <c r="O22" s="2"/>
    </row>
    <row r="23" spans="1:15" x14ac:dyDescent="0.4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18" t="str">
        <f>IF(I23="","",I23*#REF!)</f>
        <v/>
      </c>
      <c r="N23" s="19" t="str">
        <f>IF(I23="","",M23/#REF!)</f>
        <v/>
      </c>
      <c r="O23" s="2"/>
    </row>
    <row r="24" spans="1:15" x14ac:dyDescent="0.4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18" t="str">
        <f>IF(I24="","",I24*#REF!)</f>
        <v/>
      </c>
      <c r="N24" s="19" t="str">
        <f>IF(I24="","",M24/#REF!)</f>
        <v/>
      </c>
      <c r="O24" s="2"/>
    </row>
    <row r="25" spans="1:15" x14ac:dyDescent="0.4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18" t="str">
        <f>IF(I25="","",I25*#REF!)</f>
        <v/>
      </c>
      <c r="N25" s="19" t="str">
        <f>IF(I25="","",M25/#REF!)</f>
        <v/>
      </c>
      <c r="O25" s="2"/>
    </row>
    <row r="26" spans="1:15" x14ac:dyDescent="0.4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18" t="str">
        <f>IF(I26="","",I26*#REF!)</f>
        <v/>
      </c>
      <c r="N26" s="19" t="str">
        <f>IF(I26="","",M26/#REF!)</f>
        <v/>
      </c>
      <c r="O26" s="2"/>
    </row>
    <row r="27" spans="1:15" x14ac:dyDescent="0.4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18" t="str">
        <f>IF(I27="","",I27*#REF!)</f>
        <v/>
      </c>
      <c r="N27" s="19" t="str">
        <f>IF(I27="","",M27/#REF!)</f>
        <v/>
      </c>
      <c r="O27" s="2"/>
    </row>
    <row r="28" spans="1:15" x14ac:dyDescent="0.4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18" t="str">
        <f>IF(I28="","",I28*#REF!)</f>
        <v/>
      </c>
      <c r="N28" s="19" t="str">
        <f>IF(I28="","",M28/#REF!)</f>
        <v/>
      </c>
      <c r="O28" s="2"/>
    </row>
    <row r="29" spans="1:15" x14ac:dyDescent="0.4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18" t="str">
        <f>IF(I29="","",I29*#REF!)</f>
        <v/>
      </c>
      <c r="N29" s="19" t="str">
        <f>IF(I29="","",M29/#REF!)</f>
        <v/>
      </c>
      <c r="O29" s="2"/>
    </row>
    <row r="30" spans="1:15" x14ac:dyDescent="0.4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18" t="str">
        <f>IF(I30="","",I30*#REF!)</f>
        <v/>
      </c>
      <c r="N30" s="19" t="str">
        <f>IF(I30="","",M30/#REF!)</f>
        <v/>
      </c>
      <c r="O30" s="2"/>
    </row>
    <row r="31" spans="1:15" x14ac:dyDescent="0.4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18" t="str">
        <f>IF(I31="","",I31*#REF!)</f>
        <v/>
      </c>
      <c r="N31" s="19" t="str">
        <f>IF(I31="","",M31/#REF!)</f>
        <v/>
      </c>
      <c r="O31" s="2"/>
    </row>
    <row r="32" spans="1:15" x14ac:dyDescent="0.4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18" t="str">
        <f>IF(I32="","",I32*#REF!)</f>
        <v/>
      </c>
      <c r="N32" s="19" t="str">
        <f>IF(I32="","",M32/#REF!)</f>
        <v/>
      </c>
      <c r="O32" s="2"/>
    </row>
    <row r="33" spans="1:15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8" t="str">
        <f>IF(I33="","",I33*#REF!)</f>
        <v/>
      </c>
      <c r="N33" s="19" t="str">
        <f>IF(I33="","",M33/#REF!)</f>
        <v/>
      </c>
      <c r="O33" s="2"/>
    </row>
    <row r="34" spans="1:15" x14ac:dyDescent="0.4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18" t="str">
        <f>IF(I34="","",I34*#REF!)</f>
        <v/>
      </c>
      <c r="N34" s="19" t="str">
        <f>IF(I34="","",M34/#REF!)</f>
        <v/>
      </c>
      <c r="O34" s="2"/>
    </row>
    <row r="35" spans="1:15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18" t="str">
        <f>IF(I35="","",I35*#REF!)</f>
        <v/>
      </c>
      <c r="N35" s="19" t="str">
        <f>IF(I35="","",M35/#REF!)</f>
        <v/>
      </c>
      <c r="O35" s="2"/>
    </row>
    <row r="36" spans="1:15" x14ac:dyDescent="0.4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18" t="str">
        <f>IF(I36="","",I36*#REF!)</f>
        <v/>
      </c>
      <c r="N36" s="19" t="str">
        <f>IF(I36="","",M36/#REF!)</f>
        <v/>
      </c>
      <c r="O36" s="2"/>
    </row>
    <row r="37" spans="1:15" x14ac:dyDescent="0.4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18" t="str">
        <f>IF(I37="","",I37*#REF!)</f>
        <v/>
      </c>
      <c r="N37" s="19" t="str">
        <f>IF(I37="","",M37/#REF!)</f>
        <v/>
      </c>
      <c r="O37" s="2"/>
    </row>
    <row r="38" spans="1:15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8" t="str">
        <f>IF(I38="","",I38*#REF!)</f>
        <v/>
      </c>
      <c r="N38" s="19" t="str">
        <f>IF(I38="","",M38/#REF!)</f>
        <v/>
      </c>
      <c r="O38" s="2"/>
    </row>
    <row r="39" spans="1:15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18" t="str">
        <f>IF(I39="","",I39*#REF!)</f>
        <v/>
      </c>
      <c r="N39" s="19" t="str">
        <f>IF(I39="","",M39/#REF!)</f>
        <v/>
      </c>
      <c r="O39" s="2"/>
    </row>
    <row r="40" spans="1:15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18" t="str">
        <f>IF(I40="","",I40*#REF!)</f>
        <v/>
      </c>
      <c r="N40" s="19" t="str">
        <f>IF(I40="","",M40/#REF!)</f>
        <v/>
      </c>
      <c r="O40" s="2"/>
    </row>
    <row r="41" spans="1:15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8" t="str">
        <f>IF(I41="","",I41*#REF!)</f>
        <v/>
      </c>
      <c r="N41" s="19" t="str">
        <f>IF(I41="","",M41/#REF!)</f>
        <v/>
      </c>
      <c r="O41" s="2"/>
    </row>
    <row r="42" spans="1:15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8" t="str">
        <f>IF(I42="","",I42*#REF!)</f>
        <v/>
      </c>
      <c r="N42" s="19" t="str">
        <f>IF(I42="","",M42/#REF!)</f>
        <v/>
      </c>
      <c r="O42" s="2"/>
    </row>
    <row r="43" spans="1:15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8" t="str">
        <f>IF(I43="","",I43*#REF!)</f>
        <v/>
      </c>
      <c r="N43" s="19" t="str">
        <f>IF(I43="","",M43/#REF!)</f>
        <v/>
      </c>
      <c r="O43" s="2"/>
    </row>
    <row r="44" spans="1:15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8" t="str">
        <f>IF(I44="","",I44*#REF!)</f>
        <v/>
      </c>
      <c r="N44" s="19" t="str">
        <f>IF(I44="","",M44/#REF!)</f>
        <v/>
      </c>
      <c r="O44" s="2"/>
    </row>
    <row r="45" spans="1:15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8" t="str">
        <f>IF(I45="","",I45*#REF!)</f>
        <v/>
      </c>
      <c r="N45" s="19" t="str">
        <f>IF(I45="","",M45/#REF!)</f>
        <v/>
      </c>
      <c r="O45" s="2"/>
    </row>
    <row r="46" spans="1:15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8" t="str">
        <f>IF(I46="","",I46*#REF!)</f>
        <v/>
      </c>
      <c r="N46" s="19" t="str">
        <f>IF(I46="","",M46/#REF!)</f>
        <v/>
      </c>
      <c r="O46" s="2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QWEN_27B_Runs</vt:lpstr>
      <vt:lpstr>QWEN_27B_Runs (MTP CPU + GPU)</vt:lpstr>
      <vt:lpstr>QWEN_35B_Runs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Andy Lu</cp:lastModifiedBy>
  <cp:revision>1</cp:revision>
  <dcterms:created xsi:type="dcterms:W3CDTF">2026-08-14T16:37:08Z</dcterms:created>
  <dcterms:modified xsi:type="dcterms:W3CDTF">2026-09-01T15:59:20Z</dcterms:modified>
  <dc:language>en-US</dc:language>
</cp:coreProperties>
</file>